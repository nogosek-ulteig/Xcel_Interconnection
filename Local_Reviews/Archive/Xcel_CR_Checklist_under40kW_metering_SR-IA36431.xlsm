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joe.nogosek\Documents\Local_Reviews\"/>
    </mc:Choice>
  </mc:AlternateContent>
  <xr:revisionPtr revIDLastSave="0" documentId="13_ncr:1_{3F578673-BF82-4CAE-80FA-E261F7AD94F7}" xr6:coauthVersionLast="47" xr6:coauthVersionMax="47" xr10:uidLastSave="{00000000-0000-0000-0000-000000000000}"/>
  <bookViews>
    <workbookView xWindow="28680" yWindow="-120" windowWidth="29040" windowHeight="15840" tabRatio="621" xr2:uid="{00000000-000D-0000-FFFF-FFFF00000000}"/>
  </bookViews>
  <sheets>
    <sheet name="DER Study" sheetId="1" r:id="rId1"/>
  </sheets>
  <externalReferences>
    <externalReference r:id="rId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1" l="1"/>
  <c r="C4" i="1" a="1"/>
  <c r="C4" i="1" s="1"/>
  <c r="H127" i="1"/>
  <c r="C2" i="1" a="1"/>
  <c r="C2" i="1" s="1"/>
  <c r="K1" i="1" s="1"/>
  <c r="E133" i="1" l="1"/>
  <c r="J1" i="1"/>
  <c r="H81" i="1" l="1"/>
  <c r="K81" i="1" s="1"/>
  <c r="H39" i="1" a="1"/>
  <c r="H39" i="1" s="1"/>
  <c r="H35" i="1"/>
  <c r="K35" i="1" s="1"/>
  <c r="H87" i="1" a="1"/>
  <c r="H87" i="1" s="1"/>
  <c r="K87" i="1" s="1"/>
  <c r="H86" i="1"/>
  <c r="K86" i="1" s="1"/>
  <c r="H130" i="1"/>
  <c r="K130" i="1" s="1"/>
  <c r="H74" i="1"/>
  <c r="K74" i="1" s="1"/>
  <c r="H72" i="1"/>
  <c r="K72" i="1" s="1"/>
  <c r="H50" i="1"/>
  <c r="K50" i="1" s="1"/>
  <c r="H49" i="1" a="1"/>
  <c r="H49" i="1" s="1"/>
  <c r="K49" i="1" s="1"/>
  <c r="H44" i="1"/>
  <c r="K44" i="1" s="1"/>
  <c r="K40" i="1"/>
  <c r="H28" i="1"/>
  <c r="K28" i="1" s="1"/>
  <c r="K29" i="1"/>
  <c r="H26" i="1" a="1"/>
  <c r="H26" i="1" s="1"/>
  <c r="K26" i="1" s="1"/>
  <c r="H21" i="1"/>
  <c r="K21" i="1" s="1"/>
  <c r="K137" i="1"/>
  <c r="K136" i="1"/>
  <c r="K135" i="1"/>
  <c r="K134" i="1"/>
  <c r="K133" i="1"/>
  <c r="K132" i="1"/>
  <c r="H131" i="1"/>
  <c r="K131" i="1" s="1"/>
  <c r="K129" i="1"/>
  <c r="K128" i="1"/>
  <c r="K127" i="1"/>
  <c r="K126"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H88" i="1"/>
  <c r="K88" i="1" s="1"/>
  <c r="K85" i="1"/>
  <c r="K84" i="1"/>
  <c r="K83" i="1"/>
  <c r="H82" i="1"/>
  <c r="K82" i="1" s="1"/>
  <c r="K80" i="1"/>
  <c r="K79" i="1"/>
  <c r="K78" i="1"/>
  <c r="K77" i="1"/>
  <c r="H76" i="1"/>
  <c r="K76" i="1" s="1"/>
  <c r="H75" i="1"/>
  <c r="K75" i="1" s="1"/>
  <c r="H73" i="1"/>
  <c r="K73" i="1" s="1"/>
  <c r="K71" i="1"/>
  <c r="K70" i="1"/>
  <c r="K69" i="1"/>
  <c r="H68" i="1"/>
  <c r="K68" i="1" s="1"/>
  <c r="H67" i="1"/>
  <c r="K67" i="1" s="1"/>
  <c r="K66" i="1"/>
  <c r="K65" i="1"/>
  <c r="K64" i="1"/>
  <c r="K63" i="1"/>
  <c r="K62" i="1"/>
  <c r="K61" i="1"/>
  <c r="K60" i="1"/>
  <c r="K59" i="1"/>
  <c r="K58" i="1"/>
  <c r="K57" i="1"/>
  <c r="K56" i="1"/>
  <c r="K55" i="1"/>
  <c r="K54" i="1"/>
  <c r="K53" i="1"/>
  <c r="K52" i="1"/>
  <c r="K51" i="1"/>
  <c r="K48" i="1"/>
  <c r="K47" i="1"/>
  <c r="K46" i="1"/>
  <c r="K45" i="1"/>
  <c r="K43" i="1"/>
  <c r="K42" i="1"/>
  <c r="K41" i="1"/>
  <c r="K38" i="1"/>
  <c r="K37" i="1"/>
  <c r="K36" i="1"/>
  <c r="H34" i="1"/>
  <c r="K34" i="1" s="1"/>
  <c r="K33" i="1"/>
  <c r="K32" i="1"/>
  <c r="H31" i="1"/>
  <c r="K31" i="1" s="1"/>
  <c r="H30" i="1"/>
  <c r="K30" i="1" s="1"/>
  <c r="H27" i="1"/>
  <c r="K27" i="1" s="1"/>
  <c r="K25" i="1"/>
  <c r="H24" i="1"/>
  <c r="K24" i="1" s="1"/>
  <c r="H23" i="1"/>
  <c r="K23" i="1" s="1"/>
  <c r="K22" i="1"/>
  <c r="K20" i="1"/>
  <c r="K19" i="1"/>
  <c r="K18" i="1"/>
  <c r="K17" i="1"/>
  <c r="K16" i="1"/>
  <c r="H15" i="1"/>
  <c r="K15" i="1" s="1"/>
  <c r="H14" i="1"/>
  <c r="K14" i="1" s="1"/>
  <c r="H13" i="1"/>
  <c r="K13" i="1" s="1"/>
  <c r="K12" i="1"/>
  <c r="K39" i="1" l="1"/>
  <c r="H128" i="1"/>
  <c r="G133" i="1"/>
  <c r="G128" i="1"/>
  <c r="E128" i="1"/>
  <c r="G127" i="1"/>
  <c r="E127" i="1"/>
  <c r="C5" i="1" l="1"/>
  <c r="D5" i="1" s="1" a="1"/>
  <c r="D5" i="1" s="1"/>
  <c r="F125" i="1" l="1"/>
  <c r="K125" i="1" s="1"/>
  <c r="E12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tc={CB524150-A274-4E73-8092-5E87FEEC7621}</author>
    <author>tc={328561A3-1E80-4CBD-8C17-0A271D0CD6BE}</author>
    <author>tc={0488F1EA-0D5A-44AB-924C-3BB82B6402B8}</author>
    <author>tc={EB81443A-6B24-4369-90E0-140032AD07BC}</author>
    <author>tc={B27CFE33-7789-4FB8-81AA-323D8C263F55}</author>
  </authors>
  <commentList>
    <comment ref="D35" authorId="0" shapeId="0" xr:uid="{CB524150-A274-4E73-8092-5E87FEEC7621}">
      <text>
        <t>[Threaded comment]
Your version of Excel allows you to read this threaded comment; however, any edits to it will get removed if the file is opened in a newer version of Excel. Learn more: https://go.microsoft.com/fwlink/?linkid=870924
Comment:
    If the application has a Tesla powerwall and the "Storage Charge Source" doesn't state it is is charged from both "Utility and Solar."</t>
      </text>
    </comment>
    <comment ref="D39" authorId="1" shapeId="0" xr:uid="{328561A3-1E80-4CBD-8C17-0A271D0CD6BE}">
      <text>
        <t>[Threaded comment]
Your version of Excel allows you to read this threaded comment; however, any edits to it will get removed if the file is opened in a newer version of Excel. Learn more: https://go.microsoft.com/fwlink/?linkid=870924
Comment:
    If a production meter is missing on a Solar*Rewards application or a production meter is present on a non-incentive DG application. Incorrect ownership is CA.</t>
      </text>
    </comment>
    <comment ref="D49" authorId="2" shapeId="0" xr:uid="{0488F1EA-0D5A-44AB-924C-3BB82B6402B8}">
      <text>
        <t>[Threaded comment]
Your version of Excel allows you to read this threaded comment; however, any edits to it will get removed if the file is opened in a newer version of Excel. Learn more: https://go.microsoft.com/fwlink/?linkid=870924
Comment:
    Only if a "Utility AC Disconnect" is not present or if there is incorrect or no wording about the disconnect.</t>
      </text>
    </comment>
    <comment ref="D81" authorId="3" shapeId="0" xr:uid="{EB81443A-6B24-4369-90E0-140032AD07BC}">
      <text>
        <t>[Threaded comment]
Your version of Excel allows you to read this threaded comment; however, any edits to it will get removed if the file is opened in a newer version of Excel. Learn more: https://go.microsoft.com/fwlink/?linkid=870924
Comment:
    If the main service meter, utility AC disconnect, or production meter (if applicable) are inside and no main service entrance is shown.</t>
      </text>
    </comment>
    <comment ref="D131" authorId="4" shapeId="0" xr:uid="{B27CFE33-7789-4FB8-81AA-323D8C263F55}">
      <text>
        <t>[Threaded comment]
Your version of Excel allows you to read this threaded comment; however, any edits to it will get removed if the file is opened in a newer version of Excel. Learn more: https://go.microsoft.com/fwlink/?linkid=870924
Comment:
    If lugs are stated to be splicing or splicing lugs are shown.</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<sst xmlns="http://schemas.openxmlformats.org/spreadsheetml/2006/main" count="473" uniqueCount="372">
  <si>
    <t>Case Number</t>
  </si>
  <si>
    <t>Items to be completed by person who completed drawing/study</t>
  </si>
  <si>
    <t>UNDER 40kW ONLY</t>
  </si>
  <si>
    <t>Reviewer</t>
  </si>
  <si>
    <t>Items to be completed by person doing the QA/QC</t>
  </si>
  <si>
    <t>Existing Meter Type (From CRS)</t>
  </si>
  <si>
    <t>Note - may be 2 meters if existing DER onsite</t>
  </si>
  <si>
    <t>Due Date</t>
  </si>
  <si>
    <t>Status (Approved/Rejected)</t>
  </si>
  <si>
    <t>Synergi Model Review</t>
  </si>
  <si>
    <t>QA/QC Engineer</t>
  </si>
  <si>
    <t>Pass Review?</t>
  </si>
  <si>
    <t>Date of QA/QC</t>
  </si>
  <si>
    <t>Section #</t>
  </si>
  <si>
    <t>Review Item</t>
  </si>
  <si>
    <t>Training Notes</t>
  </si>
  <si>
    <t>Yes</t>
  </si>
  <si>
    <t>No</t>
  </si>
  <si>
    <t>N/A</t>
  </si>
  <si>
    <t>Review Notes (include condition Pass or auto reject)</t>
  </si>
  <si>
    <t>Pass QA</t>
  </si>
  <si>
    <t>Fail QA</t>
  </si>
  <si>
    <t>3.0 One-Line Diagram</t>
  </si>
  <si>
    <t>Contact Info and General</t>
  </si>
  <si>
    <t xml:space="preserve">Name of Customer who owns/will own service, the Xcel Energy “customer of record” for existing services. </t>
  </si>
  <si>
    <t>Must match SalesForce - Application Roles section under "Customer"</t>
  </si>
  <si>
    <t>x</t>
  </si>
  <si>
    <t xml:space="preserve">Application case number assigned to the project. </t>
  </si>
  <si>
    <t>Must match SalesForce</t>
  </si>
  <si>
    <t xml:space="preserve">Clearly identify the Reference Point of Applicability (RPA) and denote the RPA where test and verification features will be applied in the written test procedure. </t>
  </si>
  <si>
    <t>should match open point described in testing procedure - conditional approval  if they don't match</t>
  </si>
  <si>
    <t>A note indicating that the design shall meet National Electric Code (NEC codes) requirements</t>
  </si>
  <si>
    <t>For systems larger than 250 kW, a signature from a professional engineer licensed in Minnesota is required.</t>
  </si>
  <si>
    <t>Auto reject if not shown</t>
  </si>
  <si>
    <t>Electrical Component Schematic</t>
  </si>
  <si>
    <t xml:space="preserve">Label and show the electrical layout of all equipment in-line between the main service meter and the DER system. </t>
  </si>
  <si>
    <t>3.5</t>
  </si>
  <si>
    <t xml:space="preserve">The equipment listed shall include, at a minimum, switches, breakers, fuses, junction boxes, combiner boxes, protective devices, etc. </t>
  </si>
  <si>
    <t>verify all necessary equipment is shown</t>
  </si>
  <si>
    <t xml:space="preserve">All customer equipment shall be located on the customer-side of the main service meter. </t>
  </si>
  <si>
    <t>3.6</t>
  </si>
  <si>
    <t xml:space="preserve">Main service meter and main service panel. </t>
  </si>
  <si>
    <t>verify they are shown</t>
  </si>
  <si>
    <t xml:space="preserve">Main service protection between DER and the utility. </t>
  </si>
  <si>
    <t>breaker or fuse</t>
  </si>
  <si>
    <t>3.7 - Note</t>
  </si>
  <si>
    <t xml:space="preserve">Protective device shall be provided immediately after the main service meter. </t>
  </si>
  <si>
    <t>auto reject if not shown or shown incorrect, needs to be within 10' of meter</t>
  </si>
  <si>
    <t>3.8</t>
  </si>
  <si>
    <t xml:space="preserve">The main service meter voltage and number of phases. If present, any transformer winding configuration and voltages. </t>
  </si>
  <si>
    <t>3.9</t>
  </si>
  <si>
    <t xml:space="preserve">The aggregate AC capacity of each DER system. </t>
  </si>
  <si>
    <t>Max DER output is combination of all inverters</t>
  </si>
  <si>
    <t>3.10</t>
  </si>
  <si>
    <t xml:space="preserve">The AC Voltage of DER System. </t>
  </si>
  <si>
    <t>Inverter or combiner voltage</t>
  </si>
  <si>
    <t>3.11</t>
  </si>
  <si>
    <t xml:space="preserve">The expected individual kW AC nameplate rating of each inverter. </t>
  </si>
  <si>
    <t>kVA or kW</t>
  </si>
  <si>
    <t>3.11 - Note</t>
  </si>
  <si>
    <t>Inverter details can be found in the 'Application Assests' section in Salesforce.</t>
  </si>
  <si>
    <t>3.12</t>
  </si>
  <si>
    <t xml:space="preserve">Phases of inverters (single or three-phase inverters). </t>
  </si>
  <si>
    <t>3.13</t>
  </si>
  <si>
    <t xml:space="preserve">Phases of DER system. </t>
  </si>
  <si>
    <t>3-phase system could use 3 1-phase inverters</t>
  </si>
  <si>
    <t>3.11.3</t>
  </si>
  <si>
    <t>         Phases (single or three-phase inverters)</t>
  </si>
  <si>
    <t>        Clearly note if inverter(s) are UL1741 certified</t>
  </si>
  <si>
    <t>Needs to be stated as UL1741 listed or certified</t>
  </si>
  <si>
    <t>3.14</t>
  </si>
  <si>
    <t xml:space="preserve">When multiple DER units are existing or proposed on a single service: all DER systems shall be shown with proposed and existing marked. </t>
  </si>
  <si>
    <t>This will only be known if additional systems are shown on the one-line, if none shown this can be ignored</t>
  </si>
  <si>
    <t>3.15</t>
  </si>
  <si>
    <t>Note: If the configuration is 2B or 2C verify the “Storage Charge Source” in Exhibit B. If it just says solar it should be 2B, if it says both solar and utility it would be 2C. This is a conditional approval if they say 2C instead of 2B. If the ESS is a Tesla Powerwall, verify that the “Storage Charge Source” in Exhibit B states that it is charged from both the Utility and Solar. This is an auto-reject.</t>
  </si>
  <si>
    <t>3.16</t>
  </si>
  <si>
    <t xml:space="preserve">The circuit for auxiliary equipment power necessary to the operation of the DER shall be shown. </t>
  </si>
  <si>
    <t>auxiliary is very rare so likely mark N/A, it may be seen on larger or tracking type systems</t>
  </si>
  <si>
    <t>3.17</t>
  </si>
  <si>
    <t xml:space="preserve">If used, indicate any control system, such as a power control system or plant controller. Give a functional description of the control system. </t>
  </si>
  <si>
    <t>Metering</t>
  </si>
  <si>
    <t>3.18</t>
  </si>
  <si>
    <t xml:space="preserve">Production meter, if applicable, with ownership noted (utility or customer). </t>
  </si>
  <si>
    <t>3.18.1</t>
  </si>
  <si>
    <t xml:space="preserve">For single-phase installations, the meter shall be specified as 1-phase, 3-wire. </t>
  </si>
  <si>
    <t>3.18.2</t>
  </si>
  <si>
    <t xml:space="preserve">For three-phase installations, the meter shall be specified as 3-phase, 4-wire. </t>
  </si>
  <si>
    <t>3.18 - NOTE</t>
  </si>
  <si>
    <t>3.18.3</t>
  </si>
  <si>
    <t xml:space="preserve">All Area EPS Operator-owned production meters shall be installed at an Area EPS Operator standard voltage. </t>
  </si>
  <si>
    <t>3.19</t>
  </si>
  <si>
    <t xml:space="preserve">Production Meter CT polarity should be shown on the drawing as facing the PV, i.e. H1 of the CT faces the inverter such that DER is seen by the production meter as kWh delivered. </t>
  </si>
  <si>
    <t>3.17.6</t>
  </si>
  <si>
    <t>         When present, customer owned meters shall be clearly noted as “provided by customer”</t>
  </si>
  <si>
    <t>If customer owns meter that needs to be stated and located on load side of utility production meter</t>
  </si>
  <si>
    <t>3.19.1</t>
  </si>
  <si>
    <t xml:space="preserve">Customer owned meters shall not be located on the DER side of the Xcel Energy production meter. </t>
  </si>
  <si>
    <t>3.20</t>
  </si>
  <si>
    <t xml:space="preserve">For systems with an output of 200 amps or more: any Xcel-owned metering requiring PTs shall be shown with the PTs unfused. </t>
  </si>
  <si>
    <t>Not working on these yet</t>
  </si>
  <si>
    <t>AC Disconnect</t>
  </si>
  <si>
    <t>3.21</t>
  </si>
  <si>
    <t xml:space="preserve">A visible-open type, lockable, and readily accessible AC disconnect for purposes of isolating the DER from the utility source labeled “Utility AC Disconnect,” “Photovoltaic Utility AC Disconnect,” or similar shall be shown. </t>
  </si>
  <si>
    <t>Language should be "visible-open", "visible blade" or similar, rather than just "visible."</t>
  </si>
  <si>
    <t>3.21.1</t>
  </si>
  <si>
    <t xml:space="preserve">Other AC Disconnects shall not be labeled or identified as a “Utility” AC Disconnect, if applicable. </t>
  </si>
  <si>
    <t>Remove "owned" but keep "Utility." The "utility" note is to indicate accessibility for use by the utility, not ownership.</t>
  </si>
  <si>
    <t>3.21.2</t>
  </si>
  <si>
    <t>         If the AC disconnect is not located within 10 feet of the main service meter, a label meeting all requirements of the “Label Details” section should be placed at the main service meter clearly showing the location of the AC Disconnect</t>
  </si>
  <si>
    <t xml:space="preserve">For installations that require a Production Meter, the Utility AC Disconnect shall be located between the DER and production meter. </t>
  </si>
  <si>
    <t>3.21.3</t>
  </si>
  <si>
    <t xml:space="preserve">For installations not requiring a Production Meter, the Utility AC Disconnect shall be located between the DER and main service. </t>
  </si>
  <si>
    <t>3.21.4</t>
  </si>
  <si>
    <t xml:space="preserve">When multiple DER units are existing or proposed on a single service: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 </t>
  </si>
  <si>
    <t>Ground Referencing</t>
  </si>
  <si>
    <t>Systems Greater than 100 kW only</t>
  </si>
  <si>
    <t>        Ground referencing8 equipment shall be installed between the main service meter and production meter to provide a ground reference for the system</t>
  </si>
  <si>
    <t>3.20.1</t>
  </si>
  <si>
    <t>         Details of the ground reference equipment required on the one-line:</t>
  </si>
  <si>
    <t>3.20.1.1</t>
  </si>
  <si>
    <t>         Type/winding configuration of ground referencing equipment</t>
  </si>
  <si>
    <t>3.20.1.2</t>
  </si>
  <si>
    <t>         X0 value</t>
  </si>
  <si>
    <t>3.20.1.3</t>
  </si>
  <si>
    <t>         X0/R0 ratio</t>
  </si>
  <si>
    <t>3.20.1.4</t>
  </si>
  <si>
    <t>         Neutral current rating</t>
  </si>
  <si>
    <t>3.20.1.5</t>
  </si>
  <si>
    <t>         Equipment fault withstand rating</t>
  </si>
  <si>
    <t>3.20.2</t>
  </si>
  <si>
    <t>         Loss of ground referencing equipment shall immediately trip the DER system offline</t>
  </si>
  <si>
    <t>Need statement</t>
  </si>
  <si>
    <t>3.20.2.1</t>
  </si>
  <si>
    <t>         The method of monitoring and tripping shall be shown on the one-line</t>
  </si>
  <si>
    <t>4.0 Site Plan</t>
  </si>
  <si>
    <t>4.1</t>
  </si>
  <si>
    <t xml:space="preserve">Name of Customer who owns/will own the service, the Xcel Energy “customer of record” for existing services. </t>
  </si>
  <si>
    <t>4.2</t>
  </si>
  <si>
    <t xml:space="preserve">Installation premise address. </t>
  </si>
  <si>
    <t>4.2.1</t>
  </si>
  <si>
    <t>        Installation address shall match application address</t>
  </si>
  <si>
    <t>4.2.2</t>
  </si>
  <si>
    <t>        Installation address shall match the premise address for existing customer/services</t>
  </si>
  <si>
    <t>4.2.3</t>
  </si>
  <si>
    <t>        For dedicated power production facility interconnection applications: GPS Coordinates in WGS 94 decimal degrees, with municipality and county are acceptable in place of an address when one has not yet been established by the county</t>
  </si>
  <si>
    <t>4.3</t>
  </si>
  <si>
    <t xml:space="preserve">Installer name &amp; contact information. </t>
  </si>
  <si>
    <t>Address does not qualify as contact info, need e-mail or phone. Can conditionally approve with just address, but needs to be noted</t>
  </si>
  <si>
    <t>4.4</t>
  </si>
  <si>
    <t xml:space="preserve">Application OID, SRC, or case number assigned to the project. </t>
  </si>
  <si>
    <t>4.5</t>
  </si>
  <si>
    <t xml:space="preserve">Building(s) and streets shall be labelled. </t>
  </si>
  <si>
    <t>4.5 - Note</t>
  </si>
  <si>
    <t xml:space="preserve">A minimum of one street should be included on the site plan, with the name, distance, and direction to the nearest cross street, if the nearest cross street is not shown. </t>
  </si>
  <si>
    <t>Need distance to nearest cross street displayed if to far to be shown in plan, Map screenshot that shows DER location and nearest cross street is acceptable</t>
  </si>
  <si>
    <t>4.6</t>
  </si>
  <si>
    <t xml:space="preserve">Compass direction (indicate North). </t>
  </si>
  <si>
    <t>4.7</t>
  </si>
  <si>
    <t>For ground mounted systems: an access road is required to all Xcel Energy equipment, including production metering and Utility AC disconnects. For systems smaller than 100 kW, an exception may be sought for this requirement, based on equipment location and accessibility</t>
  </si>
  <si>
    <t>If driveway doesn't extend to meter location it is acceptable for access to be via walking for residential applications</t>
  </si>
  <si>
    <t>4.7.1</t>
  </si>
  <si>
    <t>         The width of this road shall be indicated and cannot be less than 12 feet wide</t>
  </si>
  <si>
    <t>shown or stated</t>
  </si>
  <si>
    <t>4.7.2</t>
  </si>
  <si>
    <t xml:space="preserve">The drawing shall show the route from a public road to the Xcel Energy equipment </t>
  </si>
  <si>
    <t xml:space="preserve">Main service entrance, all meter locations, disconnects, transformers, proposed and existing DER systems. </t>
  </si>
  <si>
    <t>Main service entrance only needs to be shown when equipment is located in a building</t>
  </si>
  <si>
    <t xml:space="preserve">Distance shall be noted between this equipment. </t>
  </si>
  <si>
    <t>At a minimum between Utility AC Disconnect, Production meter, Main service protection, Main Service Meter</t>
  </si>
  <si>
    <t>4.8.2</t>
  </si>
  <si>
    <t>        Primary vs secondary interconnection shall be clearly noted and consistent with all other documentation</t>
  </si>
  <si>
    <t>If not shown here, but shown correctly on one-line - Conditionally Approve</t>
  </si>
  <si>
    <t>No longer req'd</t>
  </si>
  <si>
    <t>4.8.3</t>
  </si>
  <si>
    <t>        For dedicated power production facilities: when an overhead primary service interconnection is used, the customer pole shall be no less than 25’ from the Xcel Energy meter pole. Typical acceptable distance from the Xcel Energy meter pole to the customer pole is 40’</t>
  </si>
  <si>
    <t>can't have 2 poles closer than 25' apart</t>
  </si>
  <si>
    <t>4.8</t>
  </si>
  <si>
    <t xml:space="preserve">The Production Meter and AC Disconnect should be located together in a readily accessible location within 10’ of the main service meter. </t>
  </si>
  <si>
    <t>don't need to state on site plan - this is just verifying spacing</t>
  </si>
  <si>
    <t>4.8.1</t>
  </si>
  <si>
    <t xml:space="preserve">If the AC disconnect or Production Meter is not located within 10 feet of the main service meter, a label meeting all requirements of the “Label Details” section should be placed at the main service meter clearly showing the location of the AC Disconnect. </t>
  </si>
  <si>
    <t>okay to approve if more due to overheadpole restriction in 4.8.3</t>
  </si>
  <si>
    <t>4.9</t>
  </si>
  <si>
    <t xml:space="preserve">24/7 unescorted keyless access shall be provided to all Xcel Energy equipment. </t>
  </si>
  <si>
    <t>4.10</t>
  </si>
  <si>
    <t xml:space="preserve">Position, distance and clearance concerns of overhead electric service lines and/or other utilities in relation to the PV panels shall be noted. </t>
  </si>
  <si>
    <t>4.11</t>
  </si>
  <si>
    <t xml:space="preserve">A separate Detail View or Plan View may be required to clearly show location of meters, main service and AC disconnect, when the site layout is unclear or illegible when printed on an 11”x17” sheet. </t>
  </si>
  <si>
    <t>DO NOT NEED TO TEST PRINT - if you do print can be rejected if it doesn’t line up with 11x17 but not necessary</t>
  </si>
  <si>
    <t>5.0 Label Details</t>
  </si>
  <si>
    <t>5.1</t>
  </si>
  <si>
    <t>        Labels shall be weatherproof, durable and permanently mounted</t>
  </si>
  <si>
    <t>5.2</t>
  </si>
  <si>
    <t>        Labels shall demonstrate or state compliance with NEC 690</t>
  </si>
  <si>
    <t>5.3</t>
  </si>
  <si>
    <t xml:space="preserve">A label shall be included on Main Service Meter with the text “Generation System Connected”, or similar. </t>
  </si>
  <si>
    <t>"Photovoltaic System Connected" "Dual Power Source connected" are some other common wordings</t>
  </si>
  <si>
    <t>5.3.1</t>
  </si>
  <si>
    <t>         When an Energy Storage System (ESS) is present, include a label stating that an ESS is present and equipped with an auto-transfer switch</t>
  </si>
  <si>
    <t>5.4</t>
  </si>
  <si>
    <t>        Include label “Utility AC Disconnect”, or similar</t>
  </si>
  <si>
    <t>Ensure this is only on the "Utility AC Disconnect"</t>
  </si>
  <si>
    <t>5.4.1</t>
  </si>
  <si>
    <t>         When multiple DER units are present,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t>
  </si>
  <si>
    <t>5.5</t>
  </si>
  <si>
    <t>        When multiple DER units are existing or proposed on a single service: equipment for each system shall be uniquely identified through labelling (i.e. “PV Unit 1 of 2” or similar)</t>
  </si>
  <si>
    <t>Note to Include with Approval</t>
  </si>
  <si>
    <t>Solar*Rewards Community (Gardens) Don't require test procedure)</t>
  </si>
  <si>
    <t>6.1</t>
  </si>
  <si>
    <t>        Name of Customer who owns service, the Xcel Energy “customer of record” for existing services</t>
  </si>
  <si>
    <t>6.2</t>
  </si>
  <si>
    <t>        Installation premise address shall match application address</t>
  </si>
  <si>
    <t>6.2.1</t>
  </si>
  <si>
    <t>        Address shall match the premise address for existing customer/services</t>
  </si>
  <si>
    <t>6.3</t>
  </si>
  <si>
    <t>        Application OID, SRC, or case number assigned to the project</t>
  </si>
  <si>
    <t>6.4</t>
  </si>
  <si>
    <t>        A note stating “All testing shall be performed by qualified personnel”</t>
  </si>
  <si>
    <t>6.5</t>
  </si>
  <si>
    <t>        The procedure shall provide steps to verify fixed power factor settings for each inverter meet the project requirements</t>
  </si>
  <si>
    <t>This should be included but not always necessary as many smaller units don't have an adjustment for this. Use discretion</t>
  </si>
  <si>
    <t>6.6</t>
  </si>
  <si>
    <t>        The unintentional islanding test shall at minimum contain the following steps:</t>
  </si>
  <si>
    <t>6.6.1</t>
  </si>
  <si>
    <t>        Steps that verify DER system is ready to be energized</t>
  </si>
  <si>
    <t>As simple as just stating</t>
  </si>
  <si>
    <t>6.6.2</t>
  </si>
  <si>
    <t>        Steps to verify labeling for the Main Service Panel, DER Protection, DC Disconnect, AC disconnect, Utility AC disconnect, Production Meter (when applicable) and other relevant labelling and signage</t>
  </si>
  <si>
    <t>Only check for step verifying labels, don’t need to check accuracy</t>
  </si>
  <si>
    <t>6.6.3</t>
  </si>
  <si>
    <t>        Steps to energize the DER system</t>
  </si>
  <si>
    <t>should be actual process not just a line stating energize DER, should include a 5 minute boot time for inverter or state "after the system is in normal operation" or similar</t>
  </si>
  <si>
    <t>6.6.4</t>
  </si>
  <si>
    <t>        While in normal operation, steps to verify the voltages at the DER AC terminals are within 5% of the combined DER AC voltage ratings and all LEDs, alarms, and/or LCD codes are “normal”</t>
  </si>
  <si>
    <t>6.6.5</t>
  </si>
  <si>
    <t>        While in normal operation, steps to verify that all DER units are operational and producing power</t>
  </si>
  <si>
    <t>Can conditionally approve without this statement</t>
  </si>
  <si>
    <t>6.6.6</t>
  </si>
  <si>
    <t>        Steps to simulate the loss of utility source for the unintentional islanding test shall be</t>
  </si>
  <si>
    <t>note how open point is identified and RPA (see 3.3) is on inverter side</t>
  </si>
  <si>
    <t>6.6.6.1</t>
  </si>
  <si>
    <t>Clearly identify the disconnection device being used to simulate this utility power outage</t>
  </si>
  <si>
    <t>6.6.7</t>
  </si>
  <si>
    <t>        Using a voltmeter, verify the voltage at the inverter side of the AC disconnect has dropped to zero</t>
  </si>
  <si>
    <t>MUST SAY - voltage drops TO zero NOT near zero</t>
  </si>
  <si>
    <t>6.6.7.1</t>
  </si>
  <si>
    <t>Only customer-owned equipment shall be used for this verification. Xcel Energy will not provide special equipment for this verification. Xcel Energy provided meters shall not be used for this verification.</t>
  </si>
  <si>
    <t>Conditionally approved without, but add note that it is required</t>
  </si>
  <si>
    <t>6.6.8</t>
  </si>
  <si>
    <t>        Using an ammeter or the DER’s display/metering, verify the DER has ceased to energize within two seconds. For three phase systems, three phase monitoring may be required.</t>
  </si>
  <si>
    <t>6.7</t>
  </si>
  <si>
    <t>        Verify DER LEDs, alarms, and/or LCD codes are appropriate for loss of Utility source</t>
  </si>
  <si>
    <t>6.8</t>
  </si>
  <si>
    <t>        Steps to restore the lost Utility source shall be listed</t>
  </si>
  <si>
    <t>6.9</t>
  </si>
  <si>
    <t>        A step to verify that the inverter system delays five (5) minutes before resuming power output after the Utility source is restored shall be listed</t>
  </si>
  <si>
    <t>Testing Applicable to 3 phase systems only</t>
  </si>
  <si>
    <t>6.10</t>
  </si>
  <si>
    <t>        For three-phase systems, steps to simulate an open phase condition from the utility shall be included. The device used to create an open phase shall be clearly identified in the procedure.</t>
  </si>
  <si>
    <t>6.10.1</t>
  </si>
  <si>
    <t>        If ground referencing equipment is present, the open point must occur upstream of this device (upstream meaning in the direction of the utility source)</t>
  </si>
  <si>
    <t>6.10.2</t>
  </si>
  <si>
    <t>        If the protection scheme used to detect the open phase uses devices other than the inverter (for instance, separate relaying to trip a VFI or breaker), the installer must provide an engineering analysis that demonstrates a non-detection zone does not exist when the output of the DER is 5% or greater of the aggregate inverter AC nameplate rating in the open-phase detection schemes. A step will be required to disable this setting during testing if an acceptable engineering analysis cannot be provided.</t>
  </si>
  <si>
    <t>6.11</t>
  </si>
  <si>
    <t>        Steps to verify voltage and current are to be listed for the open-phase test. Location of measurement points shall be identified.</t>
  </si>
  <si>
    <t>5.0</t>
  </si>
  <si>
    <t>MUST INCLUDE THIS NOTE IN APPROVAL COMMENTS</t>
  </si>
  <si>
    <t>Labels and Witness Test Procedure will need to be provided later in the process. Please refer to the TSM for these requirements.</t>
  </si>
  <si>
    <t>Additional Metering Review</t>
  </si>
  <si>
    <t>M1</t>
  </si>
  <si>
    <t>Net Meter Swap Required?</t>
  </si>
  <si>
    <t>If No, mark N/A, If yes put meter swap meter type (eg - 2S BD) in notes to right.  IF 2S meter 320A rated inlcude note in metering comments</t>
  </si>
  <si>
    <t>M2</t>
  </si>
  <si>
    <t>Production meter Required?</t>
  </si>
  <si>
    <t>If No, mark N/A mark "NEX" in production meter needed, If yes put  meter type (eg - 2S) in notes to right.
If 2S Main Service Meter Production Meter will be 2S</t>
  </si>
  <si>
    <t>M3</t>
  </si>
  <si>
    <t xml:space="preserve">IF ESS, a declaration of storage is required. </t>
  </si>
  <si>
    <t>This would be a seperately attached file - Auto-Reject if missing</t>
  </si>
  <si>
    <t>M4</t>
  </si>
  <si>
    <t xml:space="preserve">If showing load side tap from main meter and lugs are indicated, lugs cannot be splicing type. </t>
  </si>
  <si>
    <t>See notes on table below for more info. Polaris is common splicing lug that is not allowed - Auto-Reject</t>
  </si>
  <si>
    <t>M5</t>
  </si>
  <si>
    <t xml:space="preserve">If equipment inside an exception request is required. </t>
  </si>
  <si>
    <t>A 2S BD SWAP on an existing 2S indoors meter does not count as altering the existing meter. An exception request is only needed when new equipement is being proposed indoors, not when altering existing indoor equipment. For example, if a new production meter is shown indoors, an exception request is required.</t>
  </si>
  <si>
    <t>M6</t>
  </si>
  <si>
    <t>Complete Meter Action</t>
  </si>
  <si>
    <t>Input Main Meter Swap and Production Meter install info</t>
  </si>
  <si>
    <t>Additional Step for Xcel Purposes</t>
  </si>
  <si>
    <t>Ensure feeder number is populated</t>
  </si>
  <si>
    <t>If missing, mark no and this will get addressed during QC for now</t>
  </si>
  <si>
    <t>Existing meter</t>
  </si>
  <si>
    <t>Net Meter Swap</t>
  </si>
  <si>
    <t>Production meter</t>
  </si>
  <si>
    <t>2S</t>
  </si>
  <si>
    <t>2S BD SWAP</t>
  </si>
  <si>
    <t>2S CL320</t>
  </si>
  <si>
    <t>2S CL320 BD SWAP</t>
  </si>
  <si>
    <t>3S</t>
  </si>
  <si>
    <t>3S BD SWAP</t>
  </si>
  <si>
    <t>4S</t>
  </si>
  <si>
    <t>4S BD SWAP</t>
  </si>
  <si>
    <t>6S</t>
  </si>
  <si>
    <t>6S SWAP for 36S BD (Rewire 9S BD if possible)</t>
  </si>
  <si>
    <t>16S</t>
  </si>
  <si>
    <t>9S</t>
  </si>
  <si>
    <t>9S BD SWAP</t>
  </si>
  <si>
    <t xml:space="preserve"> 16S [IF NO CT on PM - most common] 9S [IF CT on PM]</t>
  </si>
  <si>
    <t>14S</t>
  </si>
  <si>
    <t>14S SWAP for 16S BD</t>
  </si>
  <si>
    <t>16S BD SWAP</t>
  </si>
  <si>
    <t>36S</t>
  </si>
  <si>
    <t>36S BD SWAP (Rewire 9S BD if possible)</t>
  </si>
  <si>
    <t>Verify Complete</t>
  </si>
  <si>
    <t>2S BD Existing</t>
  </si>
  <si>
    <t>2S BD Existing (No swap required)</t>
  </si>
  <si>
    <t>2S CL320 BD Existing</t>
  </si>
  <si>
    <t>2S CL320 BD Existing (No swap required)</t>
  </si>
  <si>
    <t>3S BD Existing</t>
  </si>
  <si>
    <t>3S BD Existing (No swap required)</t>
  </si>
  <si>
    <t>4S BD Existing</t>
  </si>
  <si>
    <t>4S BD Existing (No swap required)</t>
  </si>
  <si>
    <t>6S BD Existing</t>
  </si>
  <si>
    <t>6S BD Existing (No swap required)</t>
  </si>
  <si>
    <t>9S BD Existing</t>
  </si>
  <si>
    <t>9S BD Existing (No swap required)</t>
  </si>
  <si>
    <t>14S BD Existing</t>
  </si>
  <si>
    <t>14S BD Existing (No swap required)</t>
  </si>
  <si>
    <t>16S BD Existing</t>
  </si>
  <si>
    <t>16S BD Existing (No swap required)</t>
  </si>
  <si>
    <t>36S BD Existing</t>
  </si>
  <si>
    <t>36S BD Existing (No swap required)</t>
  </si>
  <si>
    <t>2S Indoors</t>
  </si>
  <si>
    <t>2S CL320 Indoors</t>
  </si>
  <si>
    <t>3S Indoors</t>
  </si>
  <si>
    <t>4S Indoors</t>
  </si>
  <si>
    <t>6S Indoors</t>
  </si>
  <si>
    <t>9S Indoors</t>
  </si>
  <si>
    <t>14S Indoors</t>
  </si>
  <si>
    <t>16S Indoors</t>
  </si>
  <si>
    <t>36S Indoors</t>
  </si>
  <si>
    <t xml:space="preserve">Verify inverter listed on oneline matches what is listed on Salesforce under 'Application Assets.' </t>
  </si>
  <si>
    <t>All Tesla powerwall batteries have the functionality to charge from the grid. Therefore, the “Storage Charge Source” in Exhibit B must state that it is charged from both the Utility and Solar.</t>
  </si>
  <si>
    <t xml:space="preserve">For energy storage systems: the configuration being applied for shall be clearly indicated. </t>
  </si>
  <si>
    <t>Click the button to copy the highlighted cell below for Salesforce.</t>
  </si>
  <si>
    <t>Required for solar*rewards program (identified under programs in salesforce). If customer-owned, rest of section is N/A.</t>
  </si>
  <si>
    <t>Production meter not provided for gardens.</t>
  </si>
  <si>
    <t>Can be marked with line (DER) and load (utility) notation - on CTs Dot is load side</t>
  </si>
  <si>
    <t>All Xcel-owned production meters shall be installed at an Xcel Energy standard voltage.</t>
  </si>
  <si>
    <t>No existing meter</t>
  </si>
  <si>
    <t>No existing meter - new building</t>
  </si>
  <si>
    <t>***MANUALLY VERIFY*** Likely 2S on residential home. On larger systems, 16S [IF NO CT on PM - most common] 9S [IF CT on PM] ***MANUALLY VERIFY***</t>
  </si>
  <si>
    <t>8S</t>
  </si>
  <si>
    <t>16S [IF NO CT on PM - most common] 9S [IF CT on PM]</t>
  </si>
  <si>
    <t>8S BD Existing</t>
  </si>
  <si>
    <t>8S BD Existing (No swap required)</t>
  </si>
  <si>
    <t>8S Indoors</t>
  </si>
  <si>
    <t>16S CL320</t>
  </si>
  <si>
    <t>16S CL320 BD SWAP</t>
  </si>
  <si>
    <t>16S CL320 BD Existing</t>
  </si>
  <si>
    <t>16S CL320 BD Existing (No swap required)</t>
  </si>
  <si>
    <t>16S CL320 Indoors</t>
  </si>
  <si>
    <t>12 Indoors</t>
  </si>
  <si>
    <t>12S BD SWAP</t>
  </si>
  <si>
    <t>12S BD Existing</t>
  </si>
  <si>
    <t>12S BD Existing (No swap required)</t>
  </si>
  <si>
    <t>12S</t>
  </si>
  <si>
    <t>v3.13</t>
  </si>
  <si>
    <t>No loads shall be connected on the DER side of an Xcel Energy‐owned production
meter.</t>
  </si>
  <si>
    <r>
      <t xml:space="preserve">Auto reject if loads shown between meter and inverter. 
</t>
    </r>
    <r>
      <rPr>
        <i/>
        <sz val="9"/>
        <color theme="1"/>
        <rFont val="Calibri"/>
        <family val="2"/>
        <scheme val="minor"/>
      </rPr>
      <t>Energy Storage Systems are permissible</t>
    </r>
    <r>
      <rPr>
        <sz val="9"/>
        <color theme="1"/>
        <rFont val="Calibri"/>
        <family val="2"/>
        <scheme val="minor"/>
      </rPr>
      <t xml:space="preserve">, provided they only charge from the DER, and not the grid, at any time. Indicate PV‐only charging if this is the case.  </t>
    </r>
  </si>
  <si>
    <t>ESS</t>
  </si>
  <si>
    <t>4786993</t>
  </si>
  <si>
    <t>IA36431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</si>
</sst>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name val="Calibri"/>
      <family val="2"/>
      <scheme val="minor"/>
    </font>
    <font>
      <sz val="9"/>
      <color theme="1"/>
      <name val="Calibri"/>
      <family val="2"/>
      <scheme val="minor"/>
    </font>
    <font>
      <b/>
      <sz val="9"/>
      <color theme="1"/>
      <name val="Calibri"/>
      <family val="2"/>
      <scheme val="minor"/>
    </font>
    <font>
      <b/>
      <sz val="12"/>
      <color theme="1"/>
      <name val="Calibri"/>
      <family val="2"/>
      <scheme val="minor"/>
    </font>
    <font>
      <b/>
      <sz val="11"/>
      <name val="Calibri"/>
      <family val="2"/>
      <scheme val="minor"/>
    </font>
    <font>
      <sz val="11"/>
      <color rgb="FFFF0000"/>
      <name val="Calibri"/>
      <family val="2"/>
      <scheme val="minor"/>
    </font>
    <font>
      <b/>
      <sz val="16"/>
      <color theme="1"/>
      <name val="Calibri"/>
      <family val="2"/>
      <scheme val="minor"/>
    </font>
    <font>
      <sz val="11"/>
      <color theme="0"/>
      <name val="Calibri"/>
      <family val="2"/>
      <scheme val="minor"/>
    </font>
    <font>
      <sz val="11"/>
      <color rgb="FF000000"/>
      <name val="Calibri"/>
      <family val="2"/>
    </font>
    <font>
      <i/>
      <sz val="9"/>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5">
    <xf numFmtId="0" fontId="0" fillId="0" borderId="0" xfId="0"/>
    <xf numFmtId="0" fontId="1" fillId="0" borderId="0" xfId="0" applyFont="1"/>
    <xf numFmtId="0" fontId="1" fillId="2" borderId="1" xfId="0" applyFont="1" applyFill="1" applyBorder="1"/>
    <xf numFmtId="0" fontId="0" fillId="4" borderId="0" xfId="0" applyFill="1" applyAlignment="1">
      <alignment wrapText="1"/>
    </xf>
    <xf numFmtId="0" fontId="0" fillId="0" borderId="1" xfId="0" applyBorder="1" applyAlignment="1">
      <alignment wrapText="1"/>
    </xf>
    <xf numFmtId="14" fontId="0" fillId="4" borderId="1" xfId="0" applyNumberFormat="1" applyFill="1" applyBorder="1" applyAlignment="1">
      <alignment horizontal="left"/>
    </xf>
    <xf numFmtId="0" fontId="1" fillId="2" borderId="2" xfId="0" applyFont="1" applyFill="1" applyBorder="1" applyAlignment="1">
      <alignment horizontal="center"/>
    </xf>
    <xf numFmtId="0" fontId="0" fillId="3" borderId="10" xfId="0" applyFill="1" applyBorder="1"/>
    <xf numFmtId="14" fontId="0" fillId="3" borderId="11" xfId="0" applyNumberFormat="1" applyFill="1" applyBorder="1"/>
    <xf numFmtId="2" fontId="0" fillId="0" borderId="0" xfId="0" applyNumberFormat="1"/>
    <xf numFmtId="0" fontId="1" fillId="4" borderId="13" xfId="0" applyFont="1" applyFill="1" applyBorder="1" applyAlignment="1">
      <alignment horizontal="center" vertical="center"/>
    </xf>
    <xf numFmtId="0" fontId="0" fillId="0" borderId="13" xfId="0" applyBorder="1" applyAlignment="1">
      <alignment wrapText="1"/>
    </xf>
    <xf numFmtId="14" fontId="1" fillId="3" borderId="11" xfId="0" applyNumberFormat="1" applyFont="1" applyFill="1" applyBorder="1" applyAlignment="1">
      <alignment horizontal="center" vertical="center"/>
    </xf>
    <xf numFmtId="0" fontId="0" fillId="4" borderId="1" xfId="0" applyFill="1" applyBorder="1" applyAlignment="1">
      <alignment horizontal="center" wrapText="1"/>
    </xf>
    <xf numFmtId="0" fontId="0" fillId="4" borderId="13" xfId="0" applyFill="1" applyBorder="1" applyAlignment="1">
      <alignment horizontal="center" wrapText="1"/>
    </xf>
    <xf numFmtId="14" fontId="0" fillId="0" borderId="0" xfId="0" applyNumberFormat="1" applyAlignment="1">
      <alignment horizontal="left"/>
    </xf>
    <xf numFmtId="49" fontId="6" fillId="0" borderId="1" xfId="0" applyNumberFormat="1" applyFont="1" applyBorder="1" applyAlignment="1">
      <alignment horizontal="center" vertical="center" wrapText="1"/>
    </xf>
    <xf numFmtId="49" fontId="6" fillId="0" borderId="5" xfId="0" applyNumberFormat="1" applyFont="1" applyBorder="1" applyAlignment="1">
      <alignment horizontal="center" vertical="center" wrapText="1"/>
    </xf>
    <xf numFmtId="49" fontId="1" fillId="0" borderId="5" xfId="0" applyNumberFormat="1" applyFont="1" applyBorder="1" applyAlignment="1">
      <alignment horizontal="center" vertical="center" wrapText="1"/>
    </xf>
    <xf numFmtId="49" fontId="1" fillId="0" borderId="13" xfId="0" applyNumberFormat="1" applyFont="1" applyBorder="1" applyAlignment="1">
      <alignment horizontal="center" vertical="center" wrapText="1"/>
    </xf>
    <xf numFmtId="0" fontId="0" fillId="3" borderId="1" xfId="0" applyFill="1" applyBorder="1" applyAlignment="1">
      <alignment horizontal="center" wrapText="1"/>
    </xf>
    <xf numFmtId="0" fontId="0" fillId="3" borderId="1" xfId="0" applyFill="1" applyBorder="1" applyAlignment="1">
      <alignment wrapText="1"/>
    </xf>
    <xf numFmtId="0" fontId="0" fillId="3" borderId="0" xfId="0" applyFill="1" applyAlignment="1">
      <alignment wrapText="1"/>
    </xf>
    <xf numFmtId="0" fontId="3" fillId="2" borderId="5" xfId="0" applyFont="1" applyFill="1" applyBorder="1" applyAlignment="1">
      <alignment vertical="center" wrapText="1"/>
    </xf>
    <xf numFmtId="0" fontId="3" fillId="2" borderId="7" xfId="0" applyFont="1" applyFill="1" applyBorder="1" applyAlignment="1">
      <alignment vertical="center" wrapText="1"/>
    </xf>
    <xf numFmtId="0" fontId="3" fillId="2" borderId="6" xfId="0" applyFont="1" applyFill="1" applyBorder="1" applyAlignment="1">
      <alignment vertical="center" wrapText="1"/>
    </xf>
    <xf numFmtId="0" fontId="0" fillId="2" borderId="1" xfId="0" applyFill="1" applyBorder="1" applyAlignment="1">
      <alignment wrapText="1"/>
    </xf>
    <xf numFmtId="0" fontId="8" fillId="5" borderId="0" xfId="0" applyFont="1" applyFill="1" applyAlignment="1">
      <alignment horizontal="center" vertical="center" wrapText="1"/>
    </xf>
    <xf numFmtId="49" fontId="1"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49" fontId="1" fillId="5" borderId="1" xfId="0" applyNumberFormat="1" applyFont="1" applyFill="1" applyBorder="1" applyAlignment="1">
      <alignment horizontal="center" wrapText="1"/>
    </xf>
    <xf numFmtId="0" fontId="0" fillId="5" borderId="1" xfId="0" applyFill="1" applyBorder="1" applyAlignment="1">
      <alignment horizontal="center" wrapText="1"/>
    </xf>
    <xf numFmtId="0" fontId="0" fillId="5" borderId="1" xfId="0" applyFill="1" applyBorder="1" applyAlignment="1">
      <alignment wrapText="1"/>
    </xf>
    <xf numFmtId="0" fontId="0" fillId="5" borderId="0" xfId="0" applyFill="1"/>
    <xf numFmtId="49" fontId="1" fillId="0" borderId="1" xfId="0" applyNumberFormat="1" applyFont="1" applyBorder="1" applyAlignment="1">
      <alignment horizontal="center" wrapText="1"/>
    </xf>
    <xf numFmtId="49" fontId="4" fillId="5" borderId="1" xfId="0" applyNumberFormat="1" applyFont="1" applyFill="1" applyBorder="1" applyAlignment="1">
      <alignment horizontal="center" vertical="center" wrapText="1"/>
    </xf>
    <xf numFmtId="14" fontId="0" fillId="7" borderId="0" xfId="0" applyNumberFormat="1" applyFill="1" applyAlignment="1">
      <alignment horizontal="left"/>
    </xf>
    <xf numFmtId="49" fontId="0" fillId="0" borderId="0" xfId="0" applyNumberFormat="1"/>
    <xf numFmtId="0" fontId="1" fillId="2" borderId="1" xfId="0" quotePrefix="1" applyFont="1" applyFill="1" applyBorder="1" applyAlignment="1">
      <alignment horizontal="left"/>
    </xf>
    <xf numFmtId="0" fontId="2" fillId="0" borderId="0" xfId="0" applyFont="1" applyAlignment="1">
      <alignment horizontal="center"/>
    </xf>
    <xf numFmtId="0" fontId="2" fillId="0" borderId="0" xfId="0" applyFont="1" applyAlignment="1">
      <alignment horizontal="center" wrapText="1"/>
    </xf>
    <xf numFmtId="0" fontId="9" fillId="0" borderId="0" xfId="0" applyFont="1" applyAlignment="1">
      <alignment horizontal="center"/>
    </xf>
    <xf numFmtId="0" fontId="9" fillId="0" borderId="0" xfId="0" applyFont="1" applyAlignment="1">
      <alignment horizontal="center" wrapText="1"/>
    </xf>
    <xf numFmtId="0" fontId="3" fillId="0" borderId="1" xfId="0" applyFont="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xf>
    <xf numFmtId="0" fontId="0" fillId="0" borderId="0" xfId="0"/>
    <xf numFmtId="0" fontId="0" fillId="0" borderId="12" xfId="0" applyBorder="1"/>
    <xf numFmtId="0" fontId="1" fillId="2" borderId="13" xfId="0" applyFont="1" applyFill="1" applyBorder="1" applyAlignment="1">
      <alignment horizontal="center"/>
    </xf>
    <xf numFmtId="49" fontId="4" fillId="2" borderId="1"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0" fontId="0" fillId="2" borderId="1" xfId="0" applyFill="1" applyBorder="1" applyAlignment="1">
      <alignment horizontal="center" wrapText="1"/>
    </xf>
    <xf numFmtId="0" fontId="0" fillId="0" borderId="0" xfId="0"/>
    <xf numFmtId="0" fontId="9" fillId="0" borderId="0" xfId="0" applyFont="1"/>
    <xf numFmtId="0" fontId="2" fillId="4" borderId="1" xfId="0" applyFont="1" applyFill="1" applyBorder="1" applyAlignment="1">
      <alignment horizontal="center" wrapText="1"/>
    </xf>
    <xf numFmtId="0" fontId="0" fillId="0" borderId="0" xfId="0" applyFill="1" applyAlignment="1">
      <alignment horizontal="center"/>
    </xf>
    <xf numFmtId="0" fontId="0" fillId="0" borderId="0" xfId="0" applyFill="1" applyAlignment="1">
      <alignment wrapText="1"/>
    </xf>
    <xf numFmtId="0" fontId="2" fillId="6" borderId="0" xfId="0" applyFont="1" applyFill="1" applyAlignment="1">
      <alignment horizontal="left"/>
    </xf>
    <xf numFmtId="0" fontId="2" fillId="0" borderId="0" xfId="0" applyFont="1"/>
    <xf numFmtId="0" fontId="9" fillId="0" borderId="0" xfId="0" applyFont="1" applyFill="1" applyAlignment="1">
      <alignment horizontal="center"/>
    </xf>
    <xf numFmtId="0" fontId="9" fillId="0" borderId="0" xfId="0" applyFont="1" applyFill="1"/>
    <xf numFmtId="0" fontId="0" fillId="0" borderId="0" xfId="0" applyAlignment="1">
      <alignment wrapText="1"/>
    </xf>
    <xf numFmtId="0" fontId="0" fillId="0" borderId="0" xfId="0" applyAlignment="1">
      <alignment horizontal="center"/>
    </xf>
    <xf numFmtId="0" fontId="0" fillId="0" borderId="0" xfId="0"/>
    <xf numFmtId="0" fontId="0" fillId="0" borderId="0" xfId="0" applyAlignment="1">
      <alignment wrapText="1"/>
    </xf>
    <xf numFmtId="0" fontId="0" fillId="0" borderId="0" xfId="0" applyAlignment="1">
      <alignment horizontal="center"/>
    </xf>
    <xf numFmtId="0" fontId="0" fillId="0" borderId="0" xfId="0"/>
    <xf numFmtId="0" fontId="9" fillId="0" borderId="0" xfId="0" applyFont="1" applyAlignment="1">
      <alignment wrapText="1"/>
    </xf>
    <xf numFmtId="0" fontId="0" fillId="0" borderId="0" xfId="0" applyAlignment="1">
      <alignment wrapText="1"/>
    </xf>
    <xf numFmtId="0" fontId="0" fillId="0" borderId="0" xfId="0" applyAlignment="1">
      <alignment horizontal="center"/>
    </xf>
    <xf numFmtId="0" fontId="0" fillId="0" borderId="0" xfId="0"/>
    <xf numFmtId="0" fontId="3" fillId="8" borderId="1" xfId="0" applyFont="1" applyFill="1" applyBorder="1" applyAlignment="1">
      <alignment horizontal="center" vertical="center" wrapText="1"/>
    </xf>
    <xf numFmtId="49" fontId="1" fillId="0" borderId="1" xfId="0" applyNumberFormat="1" applyFont="1" applyFill="1" applyBorder="1" applyAlignment="1">
      <alignment horizontal="center" vertical="center" wrapText="1"/>
    </xf>
    <xf numFmtId="49" fontId="1" fillId="0" borderId="1" xfId="0" applyNumberFormat="1" applyFont="1" applyFill="1" applyBorder="1" applyAlignment="1">
      <alignment horizontal="center" wrapText="1"/>
    </xf>
    <xf numFmtId="49" fontId="4" fillId="0" borderId="1" xfId="0" applyNumberFormat="1" applyFont="1" applyFill="1" applyBorder="1" applyAlignment="1">
      <alignment horizontal="center" vertical="center" wrapText="1"/>
    </xf>
    <xf numFmtId="0" fontId="3" fillId="0" borderId="1" xfId="0" applyFont="1" applyBorder="1" applyAlignment="1">
      <alignment horizontal="center" vertical="center" wrapText="1"/>
    </xf>
    <xf numFmtId="0" fontId="0" fillId="0" borderId="6" xfId="0" applyBorder="1"/>
    <xf numFmtId="0" fontId="1" fillId="2" borderId="1" xfId="0" applyFont="1" applyFill="1" applyBorder="1" applyAlignment="1">
      <alignment horizontal="center"/>
    </xf>
    <xf numFmtId="0" fontId="3" fillId="5" borderId="1" xfId="0" applyFont="1" applyFill="1" applyBorder="1" applyAlignment="1">
      <alignment horizontal="center" vertical="center" wrapText="1"/>
    </xf>
    <xf numFmtId="0" fontId="1" fillId="2" borderId="12" xfId="0" applyFont="1" applyFill="1" applyBorder="1" applyAlignment="1">
      <alignment horizontal="center"/>
    </xf>
    <xf numFmtId="0" fontId="0" fillId="0" borderId="0" xfId="0" applyAlignment="1">
      <alignment wrapText="1"/>
    </xf>
    <xf numFmtId="0" fontId="0" fillId="0" borderId="0" xfId="0" applyAlignment="1">
      <alignment horizontal="center"/>
    </xf>
    <xf numFmtId="0" fontId="0" fillId="0" borderId="0" xfId="0"/>
    <xf numFmtId="0" fontId="0" fillId="0" borderId="12" xfId="0" applyBorder="1"/>
    <xf numFmtId="0" fontId="1" fillId="0" borderId="12" xfId="0" applyFont="1" applyBorder="1" applyAlignment="1">
      <alignment horizontal="center"/>
    </xf>
    <xf numFmtId="0" fontId="1" fillId="4" borderId="1" xfId="0" applyFont="1" applyFill="1" applyBorder="1" applyAlignment="1">
      <alignment horizontal="center" vertical="center"/>
    </xf>
    <xf numFmtId="0" fontId="0" fillId="0" borderId="7" xfId="0" applyBorder="1"/>
    <xf numFmtId="0" fontId="1" fillId="2" borderId="1" xfId="0" applyFont="1" applyFill="1" applyBorder="1" applyAlignment="1">
      <alignment horizontal="center" wrapText="1"/>
    </xf>
    <xf numFmtId="0" fontId="1" fillId="2" borderId="13" xfId="0" applyFont="1" applyFill="1" applyBorder="1" applyAlignment="1">
      <alignment horizontal="center"/>
    </xf>
    <xf numFmtId="0" fontId="0" fillId="0" borderId="14" xfId="0" applyBorder="1"/>
    <xf numFmtId="49" fontId="4" fillId="2" borderId="0" xfId="0" applyNumberFormat="1" applyFont="1" applyFill="1" applyAlignment="1">
      <alignment horizontal="center" vertical="center" wrapText="1"/>
    </xf>
    <xf numFmtId="49" fontId="5" fillId="2" borderId="16" xfId="0" applyNumberFormat="1" applyFont="1" applyFill="1" applyBorder="1" applyAlignment="1">
      <alignment horizontal="center" vertical="center" wrapText="1"/>
    </xf>
    <xf numFmtId="0" fontId="0" fillId="0" borderId="3" xfId="0" applyBorder="1"/>
    <xf numFmtId="0" fontId="0" fillId="0" borderId="4" xfId="0" applyBorder="1"/>
    <xf numFmtId="49" fontId="4" fillId="2" borderId="1" xfId="0" applyNumberFormat="1"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0" fontId="7" fillId="2" borderId="1" xfId="0" applyFont="1" applyFill="1" applyBorder="1" applyAlignment="1">
      <alignment horizontal="center" wrapText="1"/>
    </xf>
    <xf numFmtId="0" fontId="3" fillId="2" borderId="1" xfId="0" applyFont="1" applyFill="1" applyBorder="1" applyAlignment="1">
      <alignment horizontal="center" vertical="center" wrapText="1"/>
    </xf>
    <xf numFmtId="0" fontId="0" fillId="2" borderId="1" xfId="0" applyFill="1" applyBorder="1" applyAlignment="1">
      <alignment horizontal="center" wrapText="1"/>
    </xf>
    <xf numFmtId="0" fontId="2" fillId="2" borderId="15" xfId="0" applyFont="1" applyFill="1" applyBorder="1" applyAlignment="1">
      <alignment horizontal="center" vertical="center" wrapText="1"/>
    </xf>
    <xf numFmtId="0" fontId="0" fillId="0" borderId="8" xfId="0" applyBorder="1"/>
    <xf numFmtId="0" fontId="0" fillId="0" borderId="9" xfId="0" applyBorder="1"/>
    <xf numFmtId="0" fontId="2" fillId="2" borderId="6" xfId="0" applyFont="1" applyFill="1" applyBorder="1" applyAlignment="1">
      <alignment horizontal="center" vertical="center" wrapText="1"/>
    </xf>
    <xf numFmtId="49" fontId="5" fillId="5" borderId="1" xfId="0" applyNumberFormat="1" applyFont="1" applyFill="1" applyBorder="1" applyAlignment="1">
      <alignment horizontal="center" vertical="center" wrapText="1"/>
    </xf>
  </cellXfs>
  <cellStyles count="1">
    <cellStyle name="Normal" xfId="0" builtinId="0"/>
  </cellStyles>
  <dxfs count="1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33058</xdr:colOff>
      <xdr:row>138</xdr:row>
      <xdr:rowOff>22972</xdr:rowOff>
    </xdr:from>
    <xdr:to>
      <xdr:col>3</xdr:col>
      <xdr:colOff>577505</xdr:colOff>
      <xdr:row>145</xdr:row>
      <xdr:rowOff>158376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85558" y="27016822"/>
          <a:ext cx="5792722" cy="1487954"/>
        </a:xfrm>
        <a:prstGeom prst="rect">
          <a:avLst/>
        </a:prstGeom>
        <a:ln>
          <a:prstDash val="solid"/>
        </a:ln>
      </xdr:spPr>
    </xdr:pic>
    <xdr:clientData/>
  </xdr:twoCellAnchor>
  <xdr:twoCellAnchor editAs="oneCell">
    <xdr:from>
      <xdr:col>1</xdr:col>
      <xdr:colOff>50987</xdr:colOff>
      <xdr:row>146</xdr:row>
      <xdr:rowOff>33617</xdr:rowOff>
    </xdr:from>
    <xdr:to>
      <xdr:col>7</xdr:col>
      <xdr:colOff>1234562</xdr:colOff>
      <xdr:row>168</xdr:row>
      <xdr:rowOff>27443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003487" y="28570517"/>
          <a:ext cx="11661075" cy="456582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4</xdr:col>
          <xdr:colOff>9525</xdr:colOff>
          <xdr:row>2</xdr:row>
          <xdr:rowOff>180975</xdr:rowOff>
        </xdr:from>
        <xdr:to>
          <xdr:col>7</xdr:col>
          <xdr:colOff>981075</xdr:colOff>
          <xdr:row>5</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Highlighted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3228975</xdr:colOff>
          <xdr:row>139</xdr:row>
          <xdr:rowOff>38100</xdr:rowOff>
        </xdr:from>
        <xdr:to>
          <xdr:col>7</xdr:col>
          <xdr:colOff>571500</xdr:colOff>
          <xdr:row>143</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and move to Ready for QC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180975</xdr:rowOff>
        </xdr:from>
        <xdr:to>
          <xdr:col>9</xdr:col>
          <xdr:colOff>819150</xdr:colOff>
          <xdr:row>5</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rename, and move to appropriate folder (only click once QC is finished!)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1343025</xdr:colOff>
          <xdr:row>3</xdr:row>
          <xdr:rowOff>0</xdr:rowOff>
        </xdr:from>
        <xdr:to>
          <xdr:col>7</xdr:col>
          <xdr:colOff>2952750</xdr:colOff>
          <xdr:row>5</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Joe's Special Button (Nobody else 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0</xdr:row>
          <xdr:rowOff>47625</xdr:rowOff>
        </xdr:from>
        <xdr:to>
          <xdr:col>9</xdr:col>
          <xdr:colOff>514350</xdr:colOff>
          <xdr:row>1</xdr:row>
          <xdr:rowOff>104775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Nick's (smaller) Special Button (Only Nick 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0</xdr:row>
          <xdr:rowOff>57150</xdr:rowOff>
        </xdr:from>
        <xdr:to>
          <xdr:col>7</xdr:col>
          <xdr:colOff>2295525</xdr:colOff>
          <xdr:row>2</xdr:row>
          <xdr:rowOff>19050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Very Nice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lteigengineers.sharepoint.com/sites/XcelDERSystemImpactStudies/Shared%20Documents/General/DER%20Reviews%20-%20NSP/Completeness%20Review%20Track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il 2021"/>
      <sheetName val="May 2021"/>
      <sheetName val="June 2021"/>
      <sheetName val="July 2021"/>
      <sheetName val="August 2021"/>
      <sheetName val="September 2021"/>
      <sheetName val="October 2021"/>
      <sheetName val="November 2021"/>
      <sheetName val="December 2021"/>
      <sheetName val="January 2022"/>
      <sheetName val="February 2022"/>
      <sheetName val="2022"/>
    </sheetNames>
    <sheetDataSet>
      <sheetData sheetId="0"/>
      <sheetData sheetId="1"/>
      <sheetData sheetId="2"/>
      <sheetData sheetId="3"/>
      <sheetData sheetId="4"/>
      <sheetData sheetId="5"/>
      <sheetData sheetId="6"/>
      <sheetData sheetId="7"/>
      <sheetData sheetId="8"/>
      <sheetData sheetId="9"/>
      <sheetData sheetId="10"/>
      <sheetData sheetId="11">
        <row r="3">
          <cell r="A3">
            <v>44619.6875</v>
          </cell>
          <cell r="H3" t="str">
            <v>Ethan U</v>
          </cell>
          <cell r="I3" t="str">
            <v>4803890</v>
          </cell>
        </row>
        <row r="4">
          <cell r="A4">
            <v>44619.6875</v>
          </cell>
          <cell r="H4" t="str">
            <v>Ethan U</v>
          </cell>
          <cell r="I4" t="str">
            <v>4787339</v>
          </cell>
        </row>
        <row r="5">
          <cell r="A5">
            <v>44612.729166666657</v>
          </cell>
          <cell r="H5" t="str">
            <v>Ethan U</v>
          </cell>
          <cell r="I5" t="str">
            <v>4799149</v>
          </cell>
        </row>
        <row r="6">
          <cell r="A6">
            <v>44612.729166666657</v>
          </cell>
          <cell r="H6" t="str">
            <v>Ethan U</v>
          </cell>
          <cell r="I6" t="str">
            <v>4799152</v>
          </cell>
        </row>
        <row r="7">
          <cell r="A7">
            <v>44612.729166666657</v>
          </cell>
          <cell r="H7" t="str">
            <v>Ethan U</v>
          </cell>
          <cell r="I7" t="str">
            <v>4836502</v>
          </cell>
        </row>
        <row r="8">
          <cell r="A8">
            <v>44612.729166666657</v>
          </cell>
          <cell r="H8" t="str">
            <v>Ethan U</v>
          </cell>
          <cell r="I8" t="str">
            <v>4839453</v>
          </cell>
        </row>
        <row r="9">
          <cell r="A9">
            <v>44612.729166666657</v>
          </cell>
          <cell r="H9" t="str">
            <v>Ethan U</v>
          </cell>
          <cell r="I9" t="str">
            <v>4838857</v>
          </cell>
        </row>
        <row r="10">
          <cell r="A10">
            <v>44619.729166666657</v>
          </cell>
          <cell r="H10" t="str">
            <v>Ethan U</v>
          </cell>
          <cell r="I10" t="str">
            <v>4793601</v>
          </cell>
        </row>
        <row r="11">
          <cell r="A11">
            <v>44619.729166666657</v>
          </cell>
          <cell r="H11" t="str">
            <v>Ethan U</v>
          </cell>
          <cell r="I11" t="str">
            <v>4790542</v>
          </cell>
        </row>
        <row r="12">
          <cell r="A12">
            <v>44619.729166666657</v>
          </cell>
          <cell r="H12" t="str">
            <v>Ethan U</v>
          </cell>
          <cell r="I12" t="str">
            <v>4669222</v>
          </cell>
        </row>
        <row r="13">
          <cell r="A13">
            <v>44613.6875</v>
          </cell>
          <cell r="H13" t="str">
            <v>Ethan U</v>
          </cell>
          <cell r="I13" t="str">
            <v>4840181</v>
          </cell>
        </row>
        <row r="14">
          <cell r="A14">
            <v>44613.6875</v>
          </cell>
          <cell r="H14" t="str">
            <v>Ethan U</v>
          </cell>
          <cell r="I14" t="str">
            <v>4840038</v>
          </cell>
        </row>
        <row r="15">
          <cell r="A15">
            <v>44613.6875</v>
          </cell>
          <cell r="H15" t="str">
            <v>Ethan U</v>
          </cell>
          <cell r="I15" t="str">
            <v>4794963</v>
          </cell>
        </row>
        <row r="16">
          <cell r="A16">
            <v>44613.6875</v>
          </cell>
          <cell r="H16" t="str">
            <v>Joe Nogo</v>
          </cell>
          <cell r="I16" t="str">
            <v>4839544</v>
          </cell>
        </row>
        <row r="17">
          <cell r="A17">
            <v>44613.6875</v>
          </cell>
          <cell r="H17" t="str">
            <v>Ethan U</v>
          </cell>
          <cell r="I17" t="str">
            <v>4833681</v>
          </cell>
        </row>
        <row r="18">
          <cell r="A18">
            <v>44620.6875</v>
          </cell>
          <cell r="H18" t="str">
            <v>Ethan U</v>
          </cell>
          <cell r="I18" t="str">
            <v>4793510</v>
          </cell>
        </row>
        <row r="19">
          <cell r="A19">
            <v>44620.729166666657</v>
          </cell>
          <cell r="H19" t="str">
            <v>Ethan U</v>
          </cell>
          <cell r="I19" t="str">
            <v>4793658</v>
          </cell>
        </row>
        <row r="20">
          <cell r="A20">
            <v>44620.729166666657</v>
          </cell>
          <cell r="H20" t="str">
            <v>Ethan U</v>
          </cell>
          <cell r="I20" t="str">
            <v>4794452</v>
          </cell>
        </row>
        <row r="21">
          <cell r="A21">
            <v>44620.729166666657</v>
          </cell>
          <cell r="H21" t="str">
            <v>Ethan U</v>
          </cell>
          <cell r="I21" t="str">
            <v>4793480</v>
          </cell>
        </row>
        <row r="22">
          <cell r="A22">
            <v>44620.729166666657</v>
          </cell>
          <cell r="H22" t="str">
            <v>Ethan U</v>
          </cell>
          <cell r="I22" t="str">
            <v>4794345</v>
          </cell>
        </row>
        <row r="23">
          <cell r="A23">
            <v>44620.729166666657</v>
          </cell>
          <cell r="H23" t="str">
            <v>Ethan U</v>
          </cell>
          <cell r="I23" t="str">
            <v>4793493</v>
          </cell>
        </row>
        <row r="24">
          <cell r="A24">
            <v>44620.729166666657</v>
          </cell>
          <cell r="H24" t="str">
            <v>Ethan U</v>
          </cell>
          <cell r="I24" t="str">
            <v>4793498</v>
          </cell>
        </row>
        <row r="25">
          <cell r="A25">
            <v>44620.729166666657</v>
          </cell>
          <cell r="H25" t="str">
            <v>Ethan U</v>
          </cell>
          <cell r="I25" t="str">
            <v>4793514</v>
          </cell>
        </row>
        <row r="26">
          <cell r="A26">
            <v>44620.729166666657</v>
          </cell>
          <cell r="H26" t="str">
            <v>Ethan U</v>
          </cell>
          <cell r="I26" t="str">
            <v>4799127</v>
          </cell>
        </row>
        <row r="27">
          <cell r="A27">
            <v>44620.729166666657</v>
          </cell>
          <cell r="H27" t="str">
            <v>Ethan U</v>
          </cell>
          <cell r="I27" t="str">
            <v>4795989</v>
          </cell>
        </row>
        <row r="28">
          <cell r="A28">
            <v>44620.729166666657</v>
          </cell>
          <cell r="H28" t="str">
            <v>Ethan U</v>
          </cell>
          <cell r="I28" t="str">
            <v>4799134</v>
          </cell>
        </row>
        <row r="29">
          <cell r="A29">
            <v>44620.729166666657</v>
          </cell>
          <cell r="H29" t="str">
            <v>Ethan U</v>
          </cell>
          <cell r="I29" t="str">
            <v>4795976</v>
          </cell>
        </row>
        <row r="30">
          <cell r="A30">
            <v>44620.729166666657</v>
          </cell>
          <cell r="H30" t="str">
            <v>Ethan U</v>
          </cell>
          <cell r="I30" t="str">
            <v>4795996</v>
          </cell>
        </row>
        <row r="31">
          <cell r="A31">
            <v>44620.729166666657</v>
          </cell>
          <cell r="H31" t="str">
            <v>Ethan U</v>
          </cell>
          <cell r="I31" t="str">
            <v>4799128</v>
          </cell>
        </row>
        <row r="32">
          <cell r="A32">
            <v>44620.729166666657</v>
          </cell>
          <cell r="H32" t="str">
            <v>Ethan U</v>
          </cell>
          <cell r="I32" t="str">
            <v>4793829</v>
          </cell>
        </row>
        <row r="33">
          <cell r="A33">
            <v>44620.729166666657</v>
          </cell>
          <cell r="H33" t="str">
            <v>Nick C</v>
          </cell>
          <cell r="I33" t="str">
            <v>4795992</v>
          </cell>
        </row>
        <row r="34">
          <cell r="A34">
            <v>44620.729166666657</v>
          </cell>
          <cell r="H34" t="str">
            <v>Nick C</v>
          </cell>
          <cell r="I34" t="str">
            <v>4795981</v>
          </cell>
        </row>
        <row r="35">
          <cell r="A35">
            <v>44620.729166666657</v>
          </cell>
          <cell r="H35" t="str">
            <v>Nick C</v>
          </cell>
          <cell r="I35" t="str">
            <v>4799140</v>
          </cell>
        </row>
        <row r="36">
          <cell r="A36">
            <v>44620.729166666657</v>
          </cell>
          <cell r="H36" t="str">
            <v>Nick C</v>
          </cell>
          <cell r="I36" t="str">
            <v>4799138</v>
          </cell>
        </row>
        <row r="37">
          <cell r="A37">
            <v>44620.729166666657</v>
          </cell>
          <cell r="H37" t="str">
            <v>Nick C</v>
          </cell>
          <cell r="I37" t="str">
            <v>4799139</v>
          </cell>
        </row>
        <row r="38">
          <cell r="A38">
            <v>44620.729166666657</v>
          </cell>
          <cell r="H38" t="str">
            <v>Nick C</v>
          </cell>
          <cell r="I38" t="str">
            <v>4799130</v>
          </cell>
        </row>
        <row r="39">
          <cell r="A39">
            <v>44620.729166666657</v>
          </cell>
          <cell r="H39" t="str">
            <v>Nick C</v>
          </cell>
          <cell r="I39" t="str">
            <v>4793937</v>
          </cell>
        </row>
        <row r="40">
          <cell r="A40">
            <v>44620.729166666657</v>
          </cell>
          <cell r="H40" t="str">
            <v>Ethan U</v>
          </cell>
          <cell r="I40" t="str">
            <v>4794796</v>
          </cell>
        </row>
        <row r="41">
          <cell r="A41">
            <v>44614.6875</v>
          </cell>
          <cell r="H41" t="str">
            <v>Ethan U</v>
          </cell>
          <cell r="I41" t="str">
            <v>4817575</v>
          </cell>
        </row>
        <row r="42">
          <cell r="A42">
            <v>44614.6875</v>
          </cell>
          <cell r="H42" t="str">
            <v>Joe Nogo</v>
          </cell>
          <cell r="I42" t="str">
            <v>4836019</v>
          </cell>
        </row>
        <row r="43">
          <cell r="A43">
            <v>44614.6875</v>
          </cell>
          <cell r="H43" t="str">
            <v>Shea N</v>
          </cell>
          <cell r="I43" t="str">
            <v>4838150</v>
          </cell>
        </row>
        <row r="44">
          <cell r="A44">
            <v>44621.6875</v>
          </cell>
          <cell r="H44" t="str">
            <v>Ethan U</v>
          </cell>
          <cell r="I44" t="str">
            <v>4802928</v>
          </cell>
        </row>
        <row r="45">
          <cell r="A45">
            <v>44621.6875</v>
          </cell>
          <cell r="H45" t="str">
            <v>Ethan U</v>
          </cell>
          <cell r="I45" t="str">
            <v>4793781</v>
          </cell>
        </row>
        <row r="46">
          <cell r="A46">
            <v>44614.729166666657</v>
          </cell>
          <cell r="H46" t="str">
            <v>Shea N</v>
          </cell>
          <cell r="I46" t="str">
            <v>4809646</v>
          </cell>
        </row>
        <row r="47">
          <cell r="A47">
            <v>44614.729166666657</v>
          </cell>
          <cell r="H47" t="str">
            <v>Shea N</v>
          </cell>
          <cell r="I47" t="str">
            <v>4800755</v>
          </cell>
        </row>
        <row r="48">
          <cell r="A48">
            <v>44614.729166666657</v>
          </cell>
          <cell r="H48" t="str">
            <v>Shea N</v>
          </cell>
          <cell r="I48" t="str">
            <v>4841192</v>
          </cell>
        </row>
        <row r="49">
          <cell r="A49">
            <v>44614.729166666657</v>
          </cell>
          <cell r="H49" t="str">
            <v>Shea N</v>
          </cell>
          <cell r="I49" t="str">
            <v>4827970</v>
          </cell>
        </row>
        <row r="50">
          <cell r="A50">
            <v>44614.729166666657</v>
          </cell>
          <cell r="H50" t="str">
            <v>Shea N</v>
          </cell>
          <cell r="I50" t="str">
            <v>4834428</v>
          </cell>
        </row>
        <row r="51">
          <cell r="A51">
            <v>44621.729166666657</v>
          </cell>
          <cell r="H51" t="str">
            <v>Ethan U</v>
          </cell>
          <cell r="I51" t="str">
            <v>4793718</v>
          </cell>
        </row>
        <row r="52">
          <cell r="A52">
            <v>44621.729166666657</v>
          </cell>
          <cell r="H52" t="str">
            <v>Ethan U</v>
          </cell>
          <cell r="I52" t="str">
            <v>4820705</v>
          </cell>
        </row>
        <row r="53">
          <cell r="A53">
            <v>44621.729166666657</v>
          </cell>
          <cell r="H53" t="str">
            <v>Ethan U</v>
          </cell>
          <cell r="I53" t="str">
            <v>4793625</v>
          </cell>
        </row>
        <row r="54">
          <cell r="A54">
            <v>44621.729166666657</v>
          </cell>
          <cell r="H54" t="str">
            <v>Ethan U</v>
          </cell>
          <cell r="I54" t="str">
            <v>4823206</v>
          </cell>
        </row>
        <row r="55">
          <cell r="A55">
            <v>44621.729166666657</v>
          </cell>
          <cell r="H55" t="str">
            <v>Ethan U</v>
          </cell>
          <cell r="I55" t="str">
            <v>4793500</v>
          </cell>
        </row>
        <row r="56">
          <cell r="A56">
            <v>44615.6875</v>
          </cell>
          <cell r="H56" t="str">
            <v>Joe Nogo</v>
          </cell>
          <cell r="I56" t="str">
            <v>4269160</v>
          </cell>
        </row>
        <row r="57">
          <cell r="A57">
            <v>44615.6875</v>
          </cell>
          <cell r="H57" t="str">
            <v>Ethan U</v>
          </cell>
          <cell r="I57" t="str">
            <v>4614031</v>
          </cell>
        </row>
        <row r="58">
          <cell r="A58">
            <v>44615.6875</v>
          </cell>
          <cell r="H58" t="str">
            <v>Ethan U</v>
          </cell>
          <cell r="I58" t="str">
            <v>4847301</v>
          </cell>
        </row>
        <row r="59">
          <cell r="A59">
            <v>44615.6875</v>
          </cell>
          <cell r="H59" t="str">
            <v>Ethan U</v>
          </cell>
          <cell r="I59" t="str">
            <v>4846045</v>
          </cell>
        </row>
        <row r="60">
          <cell r="A60">
            <v>44615.6875</v>
          </cell>
          <cell r="H60" t="str">
            <v>Joe Nogo</v>
          </cell>
          <cell r="I60" t="str">
            <v>4846923</v>
          </cell>
        </row>
        <row r="61">
          <cell r="A61">
            <v>44622.6875</v>
          </cell>
          <cell r="H61" t="str">
            <v>Ethan U</v>
          </cell>
          <cell r="I61" t="str">
            <v>4793505</v>
          </cell>
        </row>
        <row r="62">
          <cell r="A62">
            <v>44622.6875</v>
          </cell>
          <cell r="H62" t="str">
            <v>Ethan U</v>
          </cell>
          <cell r="I62" t="str">
            <v>4823846</v>
          </cell>
        </row>
        <row r="63">
          <cell r="A63">
            <v>44615.6875</v>
          </cell>
          <cell r="H63" t="str">
            <v>Ethan U</v>
          </cell>
          <cell r="I63" t="str">
            <v>4793483</v>
          </cell>
        </row>
        <row r="64">
          <cell r="A64">
            <v>44618.6875</v>
          </cell>
          <cell r="H64" t="str">
            <v>Ethan U</v>
          </cell>
          <cell r="I64" t="str">
            <v>4793521</v>
          </cell>
        </row>
        <row r="65">
          <cell r="A65">
            <v>44615.729166666657</v>
          </cell>
          <cell r="H65" t="str">
            <v>Nick C</v>
          </cell>
          <cell r="I65" t="str">
            <v>4824735</v>
          </cell>
        </row>
        <row r="66">
          <cell r="A66">
            <v>44615.729166666657</v>
          </cell>
          <cell r="H66" t="str">
            <v>Nick C</v>
          </cell>
          <cell r="I66" t="str">
            <v>4807230</v>
          </cell>
        </row>
        <row r="67">
          <cell r="A67">
            <v>44615.729166666657</v>
          </cell>
          <cell r="H67" t="str">
            <v>Nick C</v>
          </cell>
          <cell r="I67" t="str">
            <v>4819198</v>
          </cell>
        </row>
        <row r="68">
          <cell r="A68">
            <v>44615.729166666657</v>
          </cell>
          <cell r="H68" t="str">
            <v>Nick C</v>
          </cell>
          <cell r="I68" t="str">
            <v>4831122</v>
          </cell>
        </row>
        <row r="69">
          <cell r="A69">
            <v>44615.729166666657</v>
          </cell>
          <cell r="H69" t="str">
            <v>Nick C</v>
          </cell>
          <cell r="I69" t="str">
            <v>4839448</v>
          </cell>
        </row>
        <row r="70">
          <cell r="A70">
            <v>44615.729166666657</v>
          </cell>
          <cell r="H70" t="str">
            <v>Nick C</v>
          </cell>
          <cell r="I70" t="str">
            <v>4831186</v>
          </cell>
        </row>
        <row r="71">
          <cell r="A71">
            <v>44615.729166666657</v>
          </cell>
          <cell r="H71" t="str">
            <v>Nick C</v>
          </cell>
          <cell r="I71" t="str">
            <v>4831043</v>
          </cell>
        </row>
        <row r="72">
          <cell r="A72">
            <v>44615.729166666657</v>
          </cell>
          <cell r="H72" t="str">
            <v>Nick C</v>
          </cell>
          <cell r="I72" t="str">
            <v>4839431</v>
          </cell>
        </row>
        <row r="73">
          <cell r="A73">
            <v>44615.729166666657</v>
          </cell>
          <cell r="H73" t="str">
            <v>Nick C</v>
          </cell>
          <cell r="I73" t="str">
            <v>4829112</v>
          </cell>
        </row>
        <row r="74">
          <cell r="A74">
            <v>44615.729166666657</v>
          </cell>
          <cell r="H74" t="str">
            <v>Ethan U</v>
          </cell>
          <cell r="I74" t="str">
            <v>4829226</v>
          </cell>
        </row>
        <row r="75">
          <cell r="A75">
            <v>44615.729166666657</v>
          </cell>
          <cell r="H75" t="str">
            <v>Ethan U</v>
          </cell>
          <cell r="I75" t="str">
            <v>4669231</v>
          </cell>
        </row>
        <row r="76">
          <cell r="A76">
            <v>44615.729166666657</v>
          </cell>
          <cell r="H76" t="str">
            <v>Ethan U</v>
          </cell>
          <cell r="I76" t="str">
            <v>4814126</v>
          </cell>
        </row>
        <row r="77">
          <cell r="A77">
            <v>44622.729166666657</v>
          </cell>
          <cell r="H77" t="str">
            <v>Ethan U</v>
          </cell>
          <cell r="I77" t="str">
            <v>4794168</v>
          </cell>
        </row>
        <row r="78">
          <cell r="A78">
            <v>44622.729166666657</v>
          </cell>
          <cell r="H78" t="str">
            <v>Ethan U</v>
          </cell>
          <cell r="I78" t="str">
            <v>4793620</v>
          </cell>
        </row>
        <row r="79">
          <cell r="A79">
            <v>44622.729166666657</v>
          </cell>
          <cell r="H79" t="str">
            <v>Ethan U</v>
          </cell>
          <cell r="I79" t="str">
            <v>4837601</v>
          </cell>
        </row>
        <row r="80">
          <cell r="A80">
            <v>44622.729166666657</v>
          </cell>
          <cell r="H80" t="str">
            <v>Ethan U</v>
          </cell>
          <cell r="I80" t="str">
            <v>4793612</v>
          </cell>
        </row>
        <row r="81">
          <cell r="A81">
            <v>44622.729166666657</v>
          </cell>
          <cell r="H81" t="str">
            <v>Ethan U</v>
          </cell>
          <cell r="I81" t="str">
            <v>4797213</v>
          </cell>
        </row>
        <row r="82">
          <cell r="A82">
            <v>44622.729166666657</v>
          </cell>
          <cell r="H82" t="str">
            <v>Ethan U</v>
          </cell>
          <cell r="I82" t="str">
            <v>4799660</v>
          </cell>
        </row>
        <row r="83">
          <cell r="A83">
            <v>44622.729166666657</v>
          </cell>
          <cell r="H83" t="str">
            <v>Ethan U</v>
          </cell>
          <cell r="I83" t="str">
            <v>4805634</v>
          </cell>
        </row>
        <row r="84">
          <cell r="A84">
            <v>44622.729166666657</v>
          </cell>
          <cell r="H84" t="str">
            <v>Ethan U</v>
          </cell>
          <cell r="I84" t="str">
            <v>4819516</v>
          </cell>
        </row>
        <row r="85">
          <cell r="A85">
            <v>44622.729166666657</v>
          </cell>
          <cell r="H85" t="str">
            <v>Ethan U</v>
          </cell>
          <cell r="I85" t="str">
            <v>4799539</v>
          </cell>
        </row>
        <row r="86">
          <cell r="A86">
            <v>44618.6875</v>
          </cell>
          <cell r="H86" t="str">
            <v>Ethan U</v>
          </cell>
          <cell r="I86" t="str">
            <v>4806914</v>
          </cell>
        </row>
        <row r="87">
          <cell r="A87">
            <v>44618.6875</v>
          </cell>
          <cell r="H87" t="str">
            <v>Ethan U</v>
          </cell>
          <cell r="I87" t="str">
            <v>4806983</v>
          </cell>
        </row>
        <row r="88">
          <cell r="A88">
            <v>44618.6875</v>
          </cell>
          <cell r="H88" t="str">
            <v>Joe Nogo</v>
          </cell>
          <cell r="I88" t="str">
            <v>4824858</v>
          </cell>
        </row>
        <row r="89">
          <cell r="A89">
            <v>44625.6875</v>
          </cell>
          <cell r="H89" t="str">
            <v>Ethan U</v>
          </cell>
          <cell r="I89" t="str">
            <v>4686983</v>
          </cell>
        </row>
        <row r="90">
          <cell r="A90">
            <v>44625.6875</v>
          </cell>
          <cell r="H90" t="str">
            <v>Ethan U</v>
          </cell>
          <cell r="I90" t="str">
            <v>4644836</v>
          </cell>
        </row>
        <row r="91">
          <cell r="A91">
            <v>44625.6875</v>
          </cell>
          <cell r="H91" t="str">
            <v>Ethan U</v>
          </cell>
          <cell r="I91" t="str">
            <v>4793600</v>
          </cell>
        </row>
        <row r="92">
          <cell r="A92">
            <v>44625.6875</v>
          </cell>
          <cell r="H92" t="str">
            <v>Ethan U</v>
          </cell>
          <cell r="I92" t="str">
            <v>4793673</v>
          </cell>
        </row>
        <row r="93">
          <cell r="A93">
            <v>44625.6875</v>
          </cell>
          <cell r="H93" t="str">
            <v>Ethan U</v>
          </cell>
          <cell r="I93" t="str">
            <v>4805349</v>
          </cell>
        </row>
        <row r="94">
          <cell r="A94">
            <v>44618.729166666657</v>
          </cell>
          <cell r="H94" t="str">
            <v>Ethan U</v>
          </cell>
          <cell r="I94" t="str">
            <v>4786993</v>
          </cell>
        </row>
        <row r="95">
          <cell r="A95">
            <v>44618.729166666657</v>
          </cell>
          <cell r="H95" t="str">
            <v>Ethan U</v>
          </cell>
          <cell r="I95" t="str">
            <v>4834093</v>
          </cell>
        </row>
        <row r="96">
          <cell r="A96">
            <v>44618.729166666657</v>
          </cell>
          <cell r="H96" t="str">
            <v>Ethan U</v>
          </cell>
          <cell r="I96" t="str">
            <v>4849079</v>
          </cell>
        </row>
        <row r="97">
          <cell r="A97">
            <v>44618.729166666657</v>
          </cell>
          <cell r="H97" t="str">
            <v>Ethan U</v>
          </cell>
          <cell r="I97" t="str">
            <v>4847801</v>
          </cell>
        </row>
        <row r="98">
          <cell r="A98">
            <v>44618.729166666657</v>
          </cell>
          <cell r="H98" t="str">
            <v>Ethan U</v>
          </cell>
          <cell r="I98" t="str">
            <v>4820308</v>
          </cell>
        </row>
        <row r="99">
          <cell r="A99">
            <v>44618.729166666657</v>
          </cell>
          <cell r="H99" t="str">
            <v>Ethan U</v>
          </cell>
          <cell r="I99" t="str">
            <v>4809027</v>
          </cell>
        </row>
        <row r="100">
          <cell r="A100">
            <v>44625.729166666657</v>
          </cell>
          <cell r="H100" t="str">
            <v>Ethan U</v>
          </cell>
          <cell r="I100" t="str">
            <v>4800212</v>
          </cell>
        </row>
        <row r="101">
          <cell r="A101">
            <v>44625.729166666657</v>
          </cell>
          <cell r="H101" t="str">
            <v>Ethan U</v>
          </cell>
          <cell r="I101" t="str">
            <v>4820987</v>
          </cell>
        </row>
        <row r="102">
          <cell r="A102">
            <v>44625.729166666657</v>
          </cell>
          <cell r="H102" t="str">
            <v>Ethan U</v>
          </cell>
          <cell r="I102" t="str">
            <v>4759311</v>
          </cell>
        </row>
        <row r="103">
          <cell r="A103">
            <v>44621.6875</v>
          </cell>
          <cell r="H103" t="str">
            <v>Nick C</v>
          </cell>
          <cell r="I103" t="str">
            <v>4802781</v>
          </cell>
        </row>
        <row r="104">
          <cell r="A104">
            <v>44626.6875</v>
          </cell>
          <cell r="H104" t="str">
            <v>Ethan U</v>
          </cell>
          <cell r="I104" t="str">
            <v>4810522</v>
          </cell>
        </row>
        <row r="105">
          <cell r="A105">
            <v>44626.6875</v>
          </cell>
          <cell r="H105" t="str">
            <v>Ethan U</v>
          </cell>
          <cell r="I105" t="str">
            <v>4793517</v>
          </cell>
        </row>
        <row r="106">
          <cell r="A106">
            <v>44626.6875</v>
          </cell>
          <cell r="H106" t="str">
            <v>Ethan U</v>
          </cell>
          <cell r="I106" t="str">
            <v>4793504</v>
          </cell>
        </row>
        <row r="107">
          <cell r="A107">
            <v>44626.6875</v>
          </cell>
          <cell r="H107" t="str">
            <v>Ethan U</v>
          </cell>
          <cell r="I107" t="str">
            <v>4795975</v>
          </cell>
        </row>
        <row r="108">
          <cell r="A108">
            <v>44626.6875</v>
          </cell>
          <cell r="H108" t="str">
            <v>Ethan U</v>
          </cell>
          <cell r="I108" t="str">
            <v>4797400</v>
          </cell>
        </row>
        <row r="109">
          <cell r="A109">
            <v>44626.729166666657</v>
          </cell>
          <cell r="H109" t="str">
            <v>Ethan U</v>
          </cell>
          <cell r="I109" t="str">
            <v>4793524</v>
          </cell>
        </row>
        <row r="110">
          <cell r="A110">
            <v>44626.729166666657</v>
          </cell>
          <cell r="H110" t="str">
            <v>Ethan U</v>
          </cell>
          <cell r="I110" t="str">
            <v>4793477</v>
          </cell>
        </row>
        <row r="111">
          <cell r="A111">
            <v>44626.729166666657</v>
          </cell>
          <cell r="H111" t="str">
            <v>Ethan U</v>
          </cell>
          <cell r="I111" t="str">
            <v>4794690</v>
          </cell>
        </row>
        <row r="112">
          <cell r="A112">
            <v>44626.729166666657</v>
          </cell>
          <cell r="H112" t="str">
            <v>Ethan U</v>
          </cell>
          <cell r="I112" t="str">
            <v>4824847</v>
          </cell>
        </row>
        <row r="113">
          <cell r="A113">
            <v>44626.729166666657</v>
          </cell>
          <cell r="H113" t="str">
            <v>Ethan U</v>
          </cell>
          <cell r="I113" t="str">
            <v>4787339</v>
          </cell>
        </row>
        <row r="114">
          <cell r="A114">
            <v>44626.729166666657</v>
          </cell>
          <cell r="H114" t="str">
            <v>Ethan U</v>
          </cell>
          <cell r="I114" t="str">
            <v>4597157</v>
          </cell>
        </row>
        <row r="115">
          <cell r="A115">
            <v>44627.6875</v>
          </cell>
          <cell r="H115" t="str">
            <v>Ross K</v>
          </cell>
          <cell r="I115" t="str">
            <v>4793510</v>
          </cell>
        </row>
        <row r="116">
          <cell r="A116">
            <v>44620.6875</v>
          </cell>
          <cell r="H116" t="str">
            <v>Ethan U</v>
          </cell>
          <cell r="I116" t="str">
            <v>4831335</v>
          </cell>
        </row>
        <row r="117">
          <cell r="A117">
            <v>44627.729166666657</v>
          </cell>
          <cell r="H117" t="str">
            <v>Ethan U</v>
          </cell>
          <cell r="I117" t="str">
            <v>4793580</v>
          </cell>
        </row>
        <row r="118">
          <cell r="A118">
            <v>44627.729166666657</v>
          </cell>
          <cell r="H118" t="str">
            <v>Ethan U</v>
          </cell>
          <cell r="I118" t="str">
            <v>4793480</v>
          </cell>
        </row>
        <row r="119">
          <cell r="A119">
            <v>44627.729166666657</v>
          </cell>
          <cell r="H119" t="str">
            <v>Ethan U</v>
          </cell>
          <cell r="I119" t="str">
            <v>4793658</v>
          </cell>
        </row>
        <row r="120">
          <cell r="A120">
            <v>44627.729166666657</v>
          </cell>
          <cell r="H120" t="str">
            <v>Ethan U</v>
          </cell>
          <cell r="I120" t="str">
            <v>4793514</v>
          </cell>
        </row>
        <row r="121">
          <cell r="A121">
            <v>44627.729166666657</v>
          </cell>
          <cell r="H121" t="str">
            <v>Ethan U</v>
          </cell>
          <cell r="I121" t="str">
            <v>4793482</v>
          </cell>
        </row>
        <row r="122">
          <cell r="A122">
            <v>44627.729166666657</v>
          </cell>
          <cell r="H122" t="str">
            <v>Ethan U</v>
          </cell>
          <cell r="I122" t="str">
            <v>4838857</v>
          </cell>
        </row>
        <row r="123">
          <cell r="A123">
            <v>44627.729166666657</v>
          </cell>
          <cell r="H123" t="str">
            <v>Ethan U</v>
          </cell>
          <cell r="I123" t="str">
            <v>4833681</v>
          </cell>
        </row>
        <row r="124">
          <cell r="A124">
            <v>44627.729166666657</v>
          </cell>
          <cell r="H124" t="str">
            <v>Ethan U</v>
          </cell>
          <cell r="I124" t="str">
            <v>4669222</v>
          </cell>
        </row>
        <row r="125">
          <cell r="A125">
            <v>44627.729166666657</v>
          </cell>
          <cell r="H125" t="str">
            <v>Ethan U</v>
          </cell>
          <cell r="I125" t="str">
            <v>4794796</v>
          </cell>
        </row>
        <row r="126">
          <cell r="A126">
            <v>44627.729166666657</v>
          </cell>
          <cell r="H126" t="str">
            <v>Ethan U</v>
          </cell>
          <cell r="I126" t="str">
            <v>4794241</v>
          </cell>
        </row>
        <row r="127">
          <cell r="A127">
            <v>44621.6875</v>
          </cell>
          <cell r="H127" t="str">
            <v>Ethan U</v>
          </cell>
          <cell r="I127" t="str">
            <v>4843031</v>
          </cell>
        </row>
        <row r="128">
          <cell r="A128">
            <v>44621.6875</v>
          </cell>
          <cell r="H128" t="str">
            <v>Ethan U</v>
          </cell>
          <cell r="I128" t="str">
            <v>4843002</v>
          </cell>
        </row>
        <row r="129">
          <cell r="A129">
            <v>44621.6875</v>
          </cell>
          <cell r="H129" t="str">
            <v>Ethan U</v>
          </cell>
          <cell r="I129" t="str">
            <v>4843065</v>
          </cell>
        </row>
        <row r="130">
          <cell r="A130">
            <v>44621.6875</v>
          </cell>
          <cell r="H130" t="str">
            <v>Ethan U</v>
          </cell>
          <cell r="I130" t="str">
            <v>4850424</v>
          </cell>
        </row>
        <row r="131">
          <cell r="A131">
            <v>44621.6875</v>
          </cell>
          <cell r="H131" t="str">
            <v>Ethan U</v>
          </cell>
          <cell r="I131" t="str">
            <v>4850403</v>
          </cell>
        </row>
        <row r="132">
          <cell r="A132">
            <v>44621.6875</v>
          </cell>
          <cell r="H132" t="str">
            <v>Ethan U</v>
          </cell>
          <cell r="I132" t="str">
            <v>4850441</v>
          </cell>
        </row>
        <row r="133">
          <cell r="A133">
            <v>44621.6875</v>
          </cell>
          <cell r="H133" t="str">
            <v>Ethan U</v>
          </cell>
          <cell r="I133" t="str">
            <v>4850283</v>
          </cell>
        </row>
        <row r="134">
          <cell r="A134">
            <v>44621.6875</v>
          </cell>
          <cell r="H134" t="str">
            <v>Ethan U</v>
          </cell>
          <cell r="I134" t="str">
            <v>4861008</v>
          </cell>
        </row>
        <row r="135">
          <cell r="A135">
            <v>44621.6875</v>
          </cell>
          <cell r="H135" t="str">
            <v>Ethan U</v>
          </cell>
          <cell r="I135" t="str">
            <v>4850475</v>
          </cell>
        </row>
        <row r="136">
          <cell r="A136">
            <v>44621.6875</v>
          </cell>
          <cell r="H136" t="str">
            <v>Ethan U</v>
          </cell>
          <cell r="I136" t="str">
            <v>4850464</v>
          </cell>
        </row>
        <row r="137">
          <cell r="A137">
            <v>44621.6875</v>
          </cell>
          <cell r="H137" t="str">
            <v>Ethan U</v>
          </cell>
          <cell r="I137" t="str">
            <v>4860975</v>
          </cell>
        </row>
        <row r="138">
          <cell r="A138">
            <v>44621.6875</v>
          </cell>
          <cell r="H138" t="str">
            <v>Ethan U</v>
          </cell>
          <cell r="I138" t="str">
            <v>4861063</v>
          </cell>
        </row>
        <row r="139">
          <cell r="A139">
            <v>44621.6875</v>
          </cell>
          <cell r="H139" t="str">
            <v>Ethan U</v>
          </cell>
          <cell r="I139" t="str">
            <v>4845367</v>
          </cell>
        </row>
        <row r="140">
          <cell r="A140">
            <v>44621.6875</v>
          </cell>
          <cell r="H140" t="str">
            <v>Ethan U</v>
          </cell>
          <cell r="I140" t="str">
            <v>4829440</v>
          </cell>
        </row>
        <row r="141">
          <cell r="A141">
            <v>44621.6875</v>
          </cell>
          <cell r="H141" t="str">
            <v>Joe Nogo</v>
          </cell>
          <cell r="I141" t="str">
            <v>4839401</v>
          </cell>
        </row>
        <row r="142">
          <cell r="A142">
            <v>44621.6875</v>
          </cell>
          <cell r="H142" t="str">
            <v>Joe Nogo</v>
          </cell>
          <cell r="I142" t="str">
            <v>4806594</v>
          </cell>
        </row>
        <row r="143">
          <cell r="A143">
            <v>44621.6875</v>
          </cell>
          <cell r="H143" t="str">
            <v>Joe Nogo</v>
          </cell>
          <cell r="I143" t="str">
            <v>4842580</v>
          </cell>
        </row>
        <row r="144">
          <cell r="A144">
            <v>44621.6875</v>
          </cell>
          <cell r="H144" t="str">
            <v>Ethan U</v>
          </cell>
          <cell r="I144" t="str">
            <v>4806947</v>
          </cell>
        </row>
        <row r="145">
          <cell r="A145">
            <v>44621.6875</v>
          </cell>
          <cell r="H145" t="str">
            <v>Ethan U</v>
          </cell>
          <cell r="I145" t="str">
            <v>4806849</v>
          </cell>
        </row>
        <row r="146">
          <cell r="A146">
            <v>44621.6875</v>
          </cell>
          <cell r="H146" t="str">
            <v>Ethan U</v>
          </cell>
          <cell r="I146" t="str">
            <v>4806955</v>
          </cell>
        </row>
        <row r="147">
          <cell r="A147">
            <v>44621.6875</v>
          </cell>
          <cell r="H147" t="str">
            <v>Joe Nogo</v>
          </cell>
          <cell r="I147" t="str">
            <v>4814196</v>
          </cell>
        </row>
        <row r="148">
          <cell r="A148">
            <v>44621.6875</v>
          </cell>
          <cell r="H148" t="str">
            <v>Joe Nogo</v>
          </cell>
          <cell r="I148" t="str">
            <v>4803968</v>
          </cell>
        </row>
        <row r="149">
          <cell r="A149">
            <v>44621.6875</v>
          </cell>
          <cell r="H149" t="str">
            <v>Joe Nogo</v>
          </cell>
          <cell r="I149" t="str">
            <v>4830898</v>
          </cell>
        </row>
        <row r="150">
          <cell r="A150">
            <v>44621.6875</v>
          </cell>
          <cell r="H150" t="str">
            <v>Ethan U</v>
          </cell>
          <cell r="I150" t="str">
            <v>4857936</v>
          </cell>
        </row>
        <row r="151">
          <cell r="A151">
            <v>44628.6875</v>
          </cell>
          <cell r="H151" t="str">
            <v>Ethan U</v>
          </cell>
          <cell r="I151" t="str">
            <v>4793700</v>
          </cell>
        </row>
        <row r="152">
          <cell r="A152">
            <v>44628.729166666657</v>
          </cell>
          <cell r="H152" t="str">
            <v>Ethan U</v>
          </cell>
          <cell r="I152" t="str">
            <v>4838150</v>
          </cell>
        </row>
        <row r="153">
          <cell r="A153">
            <v>44628.729166666657</v>
          </cell>
          <cell r="H153" t="str">
            <v>Ethan U</v>
          </cell>
          <cell r="I153" t="str">
            <v>4793730</v>
          </cell>
        </row>
        <row r="154">
          <cell r="A154">
            <v>44628.729166666657</v>
          </cell>
          <cell r="H154" t="str">
            <v>Ethan U</v>
          </cell>
          <cell r="I154" t="str">
            <v>4793601</v>
          </cell>
        </row>
        <row r="155">
          <cell r="A155">
            <v>44622.729166666657</v>
          </cell>
          <cell r="H155" t="str">
            <v>Ethan U</v>
          </cell>
          <cell r="I155" t="str">
            <v>4843084</v>
          </cell>
        </row>
        <row r="156">
          <cell r="A156">
            <v>44622.6875</v>
          </cell>
          <cell r="H156" t="str">
            <v>Ethan U</v>
          </cell>
          <cell r="I156" t="str">
            <v>4861146</v>
          </cell>
        </row>
        <row r="157">
          <cell r="A157">
            <v>44622.6875</v>
          </cell>
          <cell r="H157" t="str">
            <v>Ethan U</v>
          </cell>
          <cell r="I157" t="str">
            <v>4860579</v>
          </cell>
        </row>
        <row r="158">
          <cell r="A158">
            <v>44622.6875</v>
          </cell>
          <cell r="H158" t="str">
            <v>Ethan U</v>
          </cell>
          <cell r="I158" t="str">
            <v>4849080</v>
          </cell>
        </row>
        <row r="159">
          <cell r="A159">
            <v>44622.6875</v>
          </cell>
          <cell r="H159" t="str">
            <v>Ethan U</v>
          </cell>
          <cell r="I159" t="str">
            <v>4848890</v>
          </cell>
        </row>
        <row r="160">
          <cell r="A160">
            <v>44622.6875</v>
          </cell>
          <cell r="H160" t="str">
            <v>Joe Nogo</v>
          </cell>
          <cell r="I160" t="str">
            <v>4446012</v>
          </cell>
        </row>
        <row r="161">
          <cell r="A161">
            <v>44622.6875</v>
          </cell>
          <cell r="H161" t="str">
            <v>Joe Nogo</v>
          </cell>
          <cell r="I161" t="str">
            <v>4823045</v>
          </cell>
        </row>
        <row r="162">
          <cell r="A162">
            <v>44622.6875</v>
          </cell>
          <cell r="H162" t="str">
            <v>Joe Nogo</v>
          </cell>
          <cell r="I162" t="str">
            <v>4841053</v>
          </cell>
        </row>
        <row r="163">
          <cell r="A163">
            <v>44622.6875</v>
          </cell>
          <cell r="H163" t="str">
            <v>Ethan U</v>
          </cell>
          <cell r="I163" t="str">
            <v>4824046</v>
          </cell>
        </row>
        <row r="164">
          <cell r="A164">
            <v>44622.6875</v>
          </cell>
          <cell r="H164" t="str">
            <v>Ethan U</v>
          </cell>
          <cell r="I164" t="str">
            <v>4857960</v>
          </cell>
        </row>
        <row r="165">
          <cell r="A165">
            <v>44629.6875</v>
          </cell>
          <cell r="H165" t="str">
            <v>Ethan U</v>
          </cell>
          <cell r="I165" t="str">
            <v>4269160</v>
          </cell>
        </row>
        <row r="166">
          <cell r="A166">
            <v>44622.729166666657</v>
          </cell>
          <cell r="H166" t="str">
            <v>Ethan U</v>
          </cell>
          <cell r="I166" t="str">
            <v>4862583</v>
          </cell>
        </row>
        <row r="167">
          <cell r="A167">
            <v>44622.729166666657</v>
          </cell>
          <cell r="H167" t="str">
            <v>Ethan U</v>
          </cell>
          <cell r="I167" t="str">
            <v>4811567</v>
          </cell>
        </row>
        <row r="168">
          <cell r="A168">
            <v>44622.729166666657</v>
          </cell>
          <cell r="H168" t="str">
            <v>Ethan U</v>
          </cell>
          <cell r="I168" t="str">
            <v>4836063</v>
          </cell>
        </row>
        <row r="169">
          <cell r="A169">
            <v>44622.729166666657</v>
          </cell>
          <cell r="H169" t="str">
            <v>Ethan U</v>
          </cell>
          <cell r="I169" t="str">
            <v>4833873</v>
          </cell>
        </row>
        <row r="170">
          <cell r="A170">
            <v>44622.729166666657</v>
          </cell>
          <cell r="H170" t="str">
            <v>Ethan U</v>
          </cell>
          <cell r="I170" t="str">
            <v>4820485</v>
          </cell>
        </row>
        <row r="171">
          <cell r="A171">
            <v>44622.729166666657</v>
          </cell>
          <cell r="H171" t="str">
            <v>Ethan U</v>
          </cell>
          <cell r="I171" t="str">
            <v>4805442</v>
          </cell>
        </row>
        <row r="172">
          <cell r="A172">
            <v>44622.729166666657</v>
          </cell>
          <cell r="H172" t="str">
            <v>Ethan U</v>
          </cell>
          <cell r="I172" t="str">
            <v>4808540</v>
          </cell>
        </row>
        <row r="173">
          <cell r="A173">
            <v>44622.729166666657</v>
          </cell>
          <cell r="H173" t="str">
            <v>Ethan U</v>
          </cell>
          <cell r="I173" t="str">
            <v>4843865</v>
          </cell>
        </row>
        <row r="174">
          <cell r="A174">
            <v>44622.729166666657</v>
          </cell>
          <cell r="H174" t="str">
            <v>Ethan U</v>
          </cell>
          <cell r="I174" t="str">
            <v>4817280</v>
          </cell>
        </row>
        <row r="175">
          <cell r="A175">
            <v>44629.729166666657</v>
          </cell>
          <cell r="H175" t="str">
            <v>Ethan U</v>
          </cell>
          <cell r="I175" t="str">
            <v>4795976</v>
          </cell>
        </row>
        <row r="176">
          <cell r="A176">
            <v>44629.729166666657</v>
          </cell>
          <cell r="H176" t="str">
            <v>Ethan U</v>
          </cell>
          <cell r="I176" t="str">
            <v>4795989</v>
          </cell>
        </row>
        <row r="177">
          <cell r="A177">
            <v>44629.729166666657</v>
          </cell>
          <cell r="H177" t="str">
            <v>Ethan U</v>
          </cell>
          <cell r="I177" t="str">
            <v>4793937</v>
          </cell>
        </row>
        <row r="178">
          <cell r="A178">
            <v>44629.729166666657</v>
          </cell>
          <cell r="H178" t="str">
            <v>Ethan U</v>
          </cell>
          <cell r="I178" t="str">
            <v>4795981</v>
          </cell>
        </row>
        <row r="179">
          <cell r="A179">
            <v>44629.729166666657</v>
          </cell>
          <cell r="H179" t="str">
            <v>Ethan U</v>
          </cell>
          <cell r="I179" t="str">
            <v>4795996</v>
          </cell>
        </row>
        <row r="180">
          <cell r="A180">
            <v>44629.729166666657</v>
          </cell>
          <cell r="H180" t="str">
            <v>Ethan U</v>
          </cell>
          <cell r="I180" t="str">
            <v>4795992</v>
          </cell>
        </row>
        <row r="181">
          <cell r="A181">
            <v>44629.729166666657</v>
          </cell>
          <cell r="H181" t="str">
            <v>Ethan U</v>
          </cell>
          <cell r="I181" t="str">
            <v>4793829</v>
          </cell>
        </row>
        <row r="182">
          <cell r="A182">
            <v>44629.729166666657</v>
          </cell>
          <cell r="H182" t="str">
            <v>Joe Nogo</v>
          </cell>
          <cell r="I182" t="str">
            <v>4794451</v>
          </cell>
        </row>
        <row r="183">
          <cell r="A183">
            <v>44629.729166666657</v>
          </cell>
          <cell r="H183" t="str">
            <v>Ethan U</v>
          </cell>
          <cell r="I183" t="str">
            <v>4794584</v>
          </cell>
        </row>
        <row r="184">
          <cell r="A184">
            <v>44629.729166666657</v>
          </cell>
          <cell r="H184" t="str">
            <v>Ethan U</v>
          </cell>
          <cell r="I184" t="str">
            <v>4794627</v>
          </cell>
        </row>
        <row r="185">
          <cell r="A185">
            <v>44629.729166666657</v>
          </cell>
          <cell r="H185" t="str">
            <v>Ethan U</v>
          </cell>
          <cell r="I185" t="str">
            <v>4820744</v>
          </cell>
        </row>
        <row r="186">
          <cell r="A186">
            <v>44629.729166666657</v>
          </cell>
          <cell r="H186" t="str">
            <v>Ethan U</v>
          </cell>
          <cell r="I186" t="str">
            <v>4794669</v>
          </cell>
        </row>
        <row r="187">
          <cell r="A187">
            <v>44629.729166666657</v>
          </cell>
          <cell r="H187" t="str">
            <v>Ethan U</v>
          </cell>
          <cell r="I187" t="str">
            <v>4817575</v>
          </cell>
        </row>
        <row r="188">
          <cell r="A188">
            <v>44629.729166666657</v>
          </cell>
          <cell r="H188" t="str">
            <v>Ethan U</v>
          </cell>
          <cell r="I188" t="str">
            <v>4799660</v>
          </cell>
        </row>
        <row r="189">
          <cell r="A189">
            <v>44629.729166666657</v>
          </cell>
          <cell r="H189" t="str">
            <v>Ethan U</v>
          </cell>
          <cell r="I189" t="str">
            <v>4799149</v>
          </cell>
        </row>
        <row r="190">
          <cell r="A190">
            <v>44629.729166666657</v>
          </cell>
          <cell r="H190" t="str">
            <v>Ethan U</v>
          </cell>
          <cell r="I190" t="str">
            <v>4822425</v>
          </cell>
        </row>
        <row r="191">
          <cell r="A191">
            <v>44629.729166666657</v>
          </cell>
          <cell r="H191" t="str">
            <v>Ethan U</v>
          </cell>
          <cell r="I191" t="str">
            <v>4790542</v>
          </cell>
        </row>
        <row r="192">
          <cell r="A192">
            <v>44629.729166666657</v>
          </cell>
          <cell r="H192" t="str">
            <v>Ethan U</v>
          </cell>
          <cell r="I192" t="str">
            <v>4746170</v>
          </cell>
        </row>
        <row r="193">
          <cell r="A193">
            <v>44629.729166666657</v>
          </cell>
          <cell r="H193" t="str">
            <v>Ethan U</v>
          </cell>
          <cell r="I193" t="str">
            <v>4777316</v>
          </cell>
        </row>
        <row r="194">
          <cell r="A194">
            <v>44632.645833333343</v>
          </cell>
          <cell r="H194" t="str">
            <v>Ethan U</v>
          </cell>
          <cell r="I194" t="str">
            <v>4793541</v>
          </cell>
        </row>
        <row r="195">
          <cell r="A195">
            <v>44632.645833333343</v>
          </cell>
          <cell r="H195" t="str">
            <v>Ethan U</v>
          </cell>
          <cell r="I195" t="str">
            <v>4793552</v>
          </cell>
        </row>
        <row r="196">
          <cell r="A196">
            <v>44632.645833333343</v>
          </cell>
          <cell r="H196" t="str">
            <v>Ethan U</v>
          </cell>
          <cell r="I196" t="str">
            <v>4793576</v>
          </cell>
        </row>
        <row r="197">
          <cell r="A197">
            <v>44625.6875</v>
          </cell>
          <cell r="H197" t="str">
            <v>Ethan U</v>
          </cell>
          <cell r="I197" t="str">
            <v>4839728</v>
          </cell>
        </row>
        <row r="198">
          <cell r="A198">
            <v>44625.6875</v>
          </cell>
          <cell r="H198" t="str">
            <v>Ethan U</v>
          </cell>
          <cell r="I198" t="str">
            <v>4866276</v>
          </cell>
        </row>
        <row r="199">
          <cell r="A199">
            <v>44625.6875</v>
          </cell>
          <cell r="H199" t="str">
            <v>Ethan U</v>
          </cell>
          <cell r="I199" t="str">
            <v>4796022</v>
          </cell>
        </row>
        <row r="200">
          <cell r="A200">
            <v>44625.6875</v>
          </cell>
          <cell r="H200" t="str">
            <v>Ethan U</v>
          </cell>
          <cell r="I200" t="str">
            <v>4861211</v>
          </cell>
        </row>
        <row r="201">
          <cell r="A201">
            <v>44625.6875</v>
          </cell>
          <cell r="H201" t="str">
            <v>Joe Nogo</v>
          </cell>
          <cell r="I201" t="str">
            <v>4758598</v>
          </cell>
        </row>
        <row r="202">
          <cell r="A202">
            <v>44625.6875</v>
          </cell>
          <cell r="H202" t="str">
            <v>Joe Nogo</v>
          </cell>
          <cell r="I202" t="str">
            <v>4806754</v>
          </cell>
        </row>
        <row r="203">
          <cell r="A203">
            <v>44632.6875</v>
          </cell>
          <cell r="H203" t="str">
            <v>Ethan U</v>
          </cell>
          <cell r="I203" t="str">
            <v>4824041</v>
          </cell>
        </row>
        <row r="204">
          <cell r="A204">
            <v>44632.6875</v>
          </cell>
          <cell r="H204" t="str">
            <v>Ethan U</v>
          </cell>
          <cell r="I204" t="str">
            <v>4813995</v>
          </cell>
        </row>
        <row r="205">
          <cell r="A205">
            <v>44632.6875</v>
          </cell>
          <cell r="H205" t="str">
            <v>Ethan U</v>
          </cell>
          <cell r="I205" t="str">
            <v>4809646</v>
          </cell>
        </row>
        <row r="206">
          <cell r="A206">
            <v>44632.6875</v>
          </cell>
          <cell r="H206" t="str">
            <v>Ethan U</v>
          </cell>
          <cell r="I206" t="str">
            <v>4824955</v>
          </cell>
        </row>
        <row r="207">
          <cell r="A207">
            <v>44632.6875</v>
          </cell>
          <cell r="H207" t="str">
            <v>Ethan U</v>
          </cell>
          <cell r="I207" t="str">
            <v>4818200</v>
          </cell>
        </row>
        <row r="208">
          <cell r="A208">
            <v>44632.6875</v>
          </cell>
          <cell r="H208" t="str">
            <v>Ethan U</v>
          </cell>
          <cell r="I208" t="str">
            <v>4802628</v>
          </cell>
        </row>
        <row r="209">
          <cell r="A209">
            <v>44632.6875</v>
          </cell>
          <cell r="H209" t="str">
            <v>Ethan U</v>
          </cell>
          <cell r="I209" t="str">
            <v>4814010</v>
          </cell>
        </row>
        <row r="210">
          <cell r="A210">
            <v>44632.6875</v>
          </cell>
          <cell r="H210" t="str">
            <v>Ethan U</v>
          </cell>
          <cell r="I210" t="str">
            <v>4820705</v>
          </cell>
        </row>
        <row r="211">
          <cell r="A211">
            <v>44632.6875</v>
          </cell>
          <cell r="H211" t="str">
            <v>Ethan U</v>
          </cell>
          <cell r="I211" t="str">
            <v>4802658</v>
          </cell>
        </row>
        <row r="212">
          <cell r="A212">
            <v>44632.6875</v>
          </cell>
          <cell r="H212" t="str">
            <v>Ethan U</v>
          </cell>
          <cell r="I212" t="str">
            <v>4824950</v>
          </cell>
        </row>
        <row r="213">
          <cell r="A213">
            <v>44632.6875</v>
          </cell>
          <cell r="H213" t="str">
            <v>Ethan U</v>
          </cell>
          <cell r="I213" t="str">
            <v>4829156</v>
          </cell>
        </row>
        <row r="214">
          <cell r="A214">
            <v>44632.6875</v>
          </cell>
          <cell r="H214" t="str">
            <v>Ethan U</v>
          </cell>
          <cell r="I214" t="str">
            <v>4831043</v>
          </cell>
        </row>
        <row r="215">
          <cell r="A215">
            <v>44632.6875</v>
          </cell>
          <cell r="H215" t="str">
            <v>Ethan U</v>
          </cell>
          <cell r="I215" t="str">
            <v>4831186</v>
          </cell>
        </row>
        <row r="216">
          <cell r="A216">
            <v>44632.6875</v>
          </cell>
          <cell r="H216" t="str">
            <v>Ethan U</v>
          </cell>
          <cell r="I216" t="str">
            <v>4839431</v>
          </cell>
        </row>
        <row r="217">
          <cell r="A217">
            <v>44632.6875</v>
          </cell>
          <cell r="H217" t="str">
            <v>Ethan U</v>
          </cell>
          <cell r="I217" t="str">
            <v>4831122</v>
          </cell>
        </row>
        <row r="218">
          <cell r="A218">
            <v>44632.6875</v>
          </cell>
          <cell r="H218" t="str">
            <v>Ethan U</v>
          </cell>
          <cell r="I218" t="str">
            <v>4839448</v>
          </cell>
        </row>
        <row r="219">
          <cell r="A219">
            <v>44632.6875</v>
          </cell>
          <cell r="H219" t="str">
            <v>Ethan U</v>
          </cell>
          <cell r="I219" t="str">
            <v>4786993</v>
          </cell>
        </row>
        <row r="220">
          <cell r="A220">
            <v>44632.6875</v>
          </cell>
          <cell r="H220" t="str">
            <v>Ethan U</v>
          </cell>
          <cell r="I220" t="str">
            <v>4840038</v>
          </cell>
        </row>
        <row r="221">
          <cell r="A221">
            <v>44632.6875</v>
          </cell>
          <cell r="H221" t="str">
            <v>Ethan U</v>
          </cell>
          <cell r="I221" t="str">
            <v>4840181</v>
          </cell>
        </row>
        <row r="222">
          <cell r="A222">
            <v>44625.729166666657</v>
          </cell>
          <cell r="H222" t="str">
            <v>Ethan U</v>
          </cell>
          <cell r="I222" t="str">
            <v>4842669</v>
          </cell>
        </row>
        <row r="223">
          <cell r="A223">
            <v>44625.729166666657</v>
          </cell>
          <cell r="H223" t="str">
            <v>Ethan U</v>
          </cell>
          <cell r="I223" t="str">
            <v>4845556</v>
          </cell>
        </row>
        <row r="224">
          <cell r="A224">
            <v>44625.729166666657</v>
          </cell>
          <cell r="H224" t="str">
            <v>Ethan U</v>
          </cell>
          <cell r="I224" t="str">
            <v>4836050</v>
          </cell>
        </row>
        <row r="225">
          <cell r="A225">
            <v>44625.729166666657</v>
          </cell>
          <cell r="H225" t="str">
            <v>Ethan U</v>
          </cell>
          <cell r="I225" t="str">
            <v>4829211</v>
          </cell>
        </row>
        <row r="226">
          <cell r="A226">
            <v>44625.729166666657</v>
          </cell>
          <cell r="H226" t="str">
            <v>Ethan U</v>
          </cell>
          <cell r="I226" t="str">
            <v>4833808</v>
          </cell>
        </row>
        <row r="227">
          <cell r="A227">
            <v>44625.729166666657</v>
          </cell>
          <cell r="H227" t="str">
            <v>Ethan U</v>
          </cell>
          <cell r="I227" t="str">
            <v>4834304</v>
          </cell>
        </row>
        <row r="228">
          <cell r="A228">
            <v>44625.729166666657</v>
          </cell>
          <cell r="H228" t="str">
            <v>Ethan U</v>
          </cell>
          <cell r="I228" t="str">
            <v>4862161</v>
          </cell>
        </row>
        <row r="229">
          <cell r="A229">
            <v>44625.729166666657</v>
          </cell>
          <cell r="H229" t="str">
            <v>Ethan U</v>
          </cell>
          <cell r="I229" t="str">
            <v>4865886</v>
          </cell>
        </row>
        <row r="230">
          <cell r="A230">
            <v>44625.729166666657</v>
          </cell>
          <cell r="H230" t="str">
            <v>Ethan U</v>
          </cell>
          <cell r="I230" t="str">
            <v>4862460</v>
          </cell>
        </row>
        <row r="231">
          <cell r="A231">
            <v>44625.729166666657</v>
          </cell>
          <cell r="H231" t="str">
            <v>Ethan U</v>
          </cell>
          <cell r="I231" t="str">
            <v>4831141</v>
          </cell>
        </row>
        <row r="232">
          <cell r="A232">
            <v>44625.729166666657</v>
          </cell>
          <cell r="H232" t="str">
            <v>Ethan U</v>
          </cell>
          <cell r="I232" t="str">
            <v>4839317</v>
          </cell>
        </row>
        <row r="233">
          <cell r="A233">
            <v>44625.729166666657</v>
          </cell>
          <cell r="H233" t="str">
            <v>Ethan U</v>
          </cell>
          <cell r="I233" t="str">
            <v>4829208</v>
          </cell>
        </row>
        <row r="234">
          <cell r="A234">
            <v>44632.729166666657</v>
          </cell>
          <cell r="H234" t="str">
            <v>Ethan U</v>
          </cell>
          <cell r="I234" t="str">
            <v>4799539</v>
          </cell>
        </row>
        <row r="235">
          <cell r="A235">
            <v>44626.645833333343</v>
          </cell>
          <cell r="H235" t="str">
            <v>Ethan U</v>
          </cell>
          <cell r="I235" t="str">
            <v>4831335</v>
          </cell>
        </row>
        <row r="236">
          <cell r="A236">
            <v>44626.6875</v>
          </cell>
          <cell r="H236" t="str">
            <v>Ethan U</v>
          </cell>
          <cell r="I236" t="str">
            <v>4845473</v>
          </cell>
        </row>
        <row r="237">
          <cell r="A237">
            <v>44626.6875</v>
          </cell>
          <cell r="H237" t="str">
            <v>Joe Nogo</v>
          </cell>
          <cell r="I237" t="str">
            <v>4862050</v>
          </cell>
        </row>
        <row r="238">
          <cell r="A238">
            <v>44626.6875</v>
          </cell>
          <cell r="H238" t="str">
            <v>Ethan U</v>
          </cell>
          <cell r="I238" t="str">
            <v>4849340</v>
          </cell>
        </row>
        <row r="239">
          <cell r="A239">
            <v>44626.6875</v>
          </cell>
          <cell r="H239" t="str">
            <v>Ethan U</v>
          </cell>
          <cell r="I239" t="str">
            <v>4841850</v>
          </cell>
        </row>
        <row r="240">
          <cell r="A240">
            <v>44633.6875</v>
          </cell>
          <cell r="H240" t="str">
            <v>Ethan U</v>
          </cell>
          <cell r="I240" t="str">
            <v>4810522</v>
          </cell>
        </row>
        <row r="241">
          <cell r="A241">
            <v>44633.6875</v>
          </cell>
          <cell r="H241" t="str">
            <v>Ethan U</v>
          </cell>
          <cell r="I241" t="str">
            <v>4806983</v>
          </cell>
        </row>
        <row r="242">
          <cell r="A242">
            <v>44633.6875</v>
          </cell>
          <cell r="H242" t="str">
            <v>Ethan U</v>
          </cell>
          <cell r="I242" t="str">
            <v>4805349</v>
          </cell>
        </row>
        <row r="243">
          <cell r="A243">
            <v>44633.6875</v>
          </cell>
          <cell r="H243" t="str">
            <v>Ethan U</v>
          </cell>
          <cell r="I243" t="str">
            <v>4794407</v>
          </cell>
        </row>
        <row r="244">
          <cell r="A244">
            <v>44626.729166666657</v>
          </cell>
          <cell r="H244" t="str">
            <v>Ethan U</v>
          </cell>
          <cell r="I244" t="str">
            <v>4872223</v>
          </cell>
        </row>
        <row r="245">
          <cell r="A245">
            <v>44626.729166666657</v>
          </cell>
          <cell r="H245" t="str">
            <v>Ethan U</v>
          </cell>
          <cell r="I245" t="str">
            <v>4840889</v>
          </cell>
        </row>
        <row r="246">
          <cell r="A246">
            <v>44626.729166666657</v>
          </cell>
          <cell r="H246" t="str">
            <v>Ethan U</v>
          </cell>
          <cell r="I246" t="str">
            <v>4840911</v>
          </cell>
        </row>
        <row r="247">
          <cell r="A247">
            <v>44626.729166666657</v>
          </cell>
          <cell r="H247" t="str">
            <v>Ethan U</v>
          </cell>
          <cell r="I247" t="str">
            <v>4811516</v>
          </cell>
        </row>
        <row r="248">
          <cell r="A248">
            <v>44626.729166666657</v>
          </cell>
          <cell r="H248" t="str">
            <v>Ethan U</v>
          </cell>
          <cell r="I248" t="str">
            <v>4804436</v>
          </cell>
        </row>
        <row r="249">
          <cell r="A249">
            <v>44633.729166666657</v>
          </cell>
          <cell r="H249" t="str">
            <v>Ethan U</v>
          </cell>
          <cell r="I249" t="str">
            <v>4820987</v>
          </cell>
        </row>
        <row r="250">
          <cell r="A250">
            <v>44633.729166666657</v>
          </cell>
          <cell r="H250" t="str">
            <v>Ethan U</v>
          </cell>
          <cell r="I250" t="str">
            <v>4793483</v>
          </cell>
        </row>
        <row r="251">
          <cell r="A251">
            <v>44633.729166666657</v>
          </cell>
          <cell r="H251" t="str">
            <v>Ethan U</v>
          </cell>
          <cell r="I251" t="str">
            <v>4794543</v>
          </cell>
        </row>
        <row r="252">
          <cell r="A252">
            <v>44633.729166666657</v>
          </cell>
          <cell r="H252" t="str">
            <v>Ethan U</v>
          </cell>
          <cell r="I252" t="str">
            <v>4847801</v>
          </cell>
        </row>
        <row r="253">
          <cell r="A253">
            <v>44633.729166666657</v>
          </cell>
          <cell r="H253" t="str">
            <v>Ethan U</v>
          </cell>
          <cell r="I253" t="str">
            <v>4794690</v>
          </cell>
        </row>
        <row r="254">
          <cell r="A254">
            <v>44633.729166666657</v>
          </cell>
          <cell r="H254" t="str">
            <v>Ethan U</v>
          </cell>
          <cell r="I254" t="str">
            <v>4849079</v>
          </cell>
        </row>
        <row r="255">
          <cell r="A255">
            <v>44633.729166666657</v>
          </cell>
          <cell r="H255" t="str">
            <v>Ethan U</v>
          </cell>
          <cell r="I255" t="str">
            <v>4808013</v>
          </cell>
        </row>
        <row r="256">
          <cell r="A256">
            <v>44627.645833333343</v>
          </cell>
          <cell r="H256" t="str">
            <v>Ethan U</v>
          </cell>
          <cell r="I256" t="str">
            <v>4861457</v>
          </cell>
        </row>
        <row r="257">
          <cell r="A257">
            <v>44634.645833333343</v>
          </cell>
          <cell r="H257" t="str">
            <v>Joe Nogo</v>
          </cell>
          <cell r="I257" t="str">
            <v>4794437</v>
          </cell>
        </row>
        <row r="258">
          <cell r="A258">
            <v>44634.645833333343</v>
          </cell>
          <cell r="H258" t="str">
            <v>Ethan U</v>
          </cell>
          <cell r="I258" t="str">
            <v>4803890</v>
          </cell>
        </row>
        <row r="259">
          <cell r="A259">
            <v>44634.645833333343</v>
          </cell>
          <cell r="H259" t="str">
            <v>Ethan U</v>
          </cell>
          <cell r="I259" t="str">
            <v>4686983</v>
          </cell>
        </row>
        <row r="260">
          <cell r="A260">
            <v>44634.6875</v>
          </cell>
          <cell r="H260" t="str">
            <v>Ethan U</v>
          </cell>
          <cell r="I260" t="str">
            <v>4805634</v>
          </cell>
        </row>
        <row r="261">
          <cell r="A261">
            <v>44634.6875</v>
          </cell>
          <cell r="H261" t="str">
            <v>Ethan U</v>
          </cell>
          <cell r="I261" t="str">
            <v>4824735</v>
          </cell>
        </row>
        <row r="262">
          <cell r="A262">
            <v>44634.6875</v>
          </cell>
          <cell r="H262" t="str">
            <v>Ethan U</v>
          </cell>
          <cell r="I262" t="str">
            <v>4806540</v>
          </cell>
        </row>
        <row r="263">
          <cell r="A263">
            <v>44634.6875</v>
          </cell>
          <cell r="H263" t="str">
            <v>Ethan U</v>
          </cell>
          <cell r="I263" t="str">
            <v>4800212</v>
          </cell>
        </row>
        <row r="264">
          <cell r="A264">
            <v>44627.729166666657</v>
          </cell>
          <cell r="H264" t="str">
            <v>Ethan U</v>
          </cell>
          <cell r="I264" t="str">
            <v>4802144</v>
          </cell>
        </row>
        <row r="265">
          <cell r="A265">
            <v>44634.729166666657</v>
          </cell>
          <cell r="H265" t="str">
            <v>Ethan U</v>
          </cell>
          <cell r="I265" t="str">
            <v>4837601</v>
          </cell>
        </row>
        <row r="266">
          <cell r="A266">
            <v>44628.645833333343</v>
          </cell>
          <cell r="H266" t="str">
            <v>Joe Nogo</v>
          </cell>
          <cell r="I266" t="str">
            <v>4847322</v>
          </cell>
        </row>
        <row r="267">
          <cell r="A267">
            <v>44628.645833333343</v>
          </cell>
          <cell r="H267" t="str">
            <v>Ethan U</v>
          </cell>
          <cell r="I267" t="str">
            <v>4836053</v>
          </cell>
        </row>
        <row r="268">
          <cell r="A268">
            <v>44628.645833333343</v>
          </cell>
          <cell r="H268" t="str">
            <v>Ethan U</v>
          </cell>
          <cell r="I268" t="str">
            <v>4831164</v>
          </cell>
        </row>
        <row r="269">
          <cell r="A269">
            <v>44628.645833333343</v>
          </cell>
          <cell r="H269" t="str">
            <v>Ethan U</v>
          </cell>
          <cell r="I269" t="str">
            <v>4840863</v>
          </cell>
        </row>
        <row r="270">
          <cell r="A270">
            <v>44628.645833333343</v>
          </cell>
          <cell r="H270" t="str">
            <v>Ethan U</v>
          </cell>
          <cell r="I270" t="str">
            <v>4840862</v>
          </cell>
        </row>
        <row r="271">
          <cell r="A271">
            <v>44628.645833333343</v>
          </cell>
          <cell r="H271" t="str">
            <v>Ethan U</v>
          </cell>
          <cell r="I271" t="str">
            <v>4840865</v>
          </cell>
        </row>
        <row r="272">
          <cell r="A272">
            <v>44628.645833333343</v>
          </cell>
          <cell r="H272" t="str">
            <v>Ethan U</v>
          </cell>
          <cell r="I272" t="str">
            <v>4802961</v>
          </cell>
        </row>
        <row r="273">
          <cell r="A273">
            <v>44628.645833333343</v>
          </cell>
          <cell r="H273" t="str">
            <v>Ethan U</v>
          </cell>
          <cell r="I273" t="str">
            <v>4847364</v>
          </cell>
        </row>
        <row r="274">
          <cell r="A274">
            <v>44635.645833333343</v>
          </cell>
          <cell r="H274" t="str">
            <v>Ethan U</v>
          </cell>
          <cell r="I274" t="str">
            <v>4793639</v>
          </cell>
        </row>
        <row r="275">
          <cell r="A275">
            <v>44628.6875</v>
          </cell>
          <cell r="H275" t="str">
            <v>Ethan U</v>
          </cell>
          <cell r="I275" t="str">
            <v>4822696</v>
          </cell>
        </row>
        <row r="276">
          <cell r="A276">
            <v>44628.6875</v>
          </cell>
          <cell r="H276" t="str">
            <v>Ethan U</v>
          </cell>
          <cell r="I276" t="str">
            <v>4841002</v>
          </cell>
        </row>
        <row r="277">
          <cell r="A277">
            <v>44628.6875</v>
          </cell>
          <cell r="H277" t="str">
            <v>Ethan U</v>
          </cell>
          <cell r="I277" t="str">
            <v>4833771</v>
          </cell>
        </row>
        <row r="278">
          <cell r="A278">
            <v>44628.6875</v>
          </cell>
          <cell r="H278" t="str">
            <v>Ethan U</v>
          </cell>
          <cell r="I278" t="str">
            <v>4857437</v>
          </cell>
        </row>
        <row r="279">
          <cell r="A279">
            <v>44628.6875</v>
          </cell>
          <cell r="H279" t="str">
            <v>Ethan U</v>
          </cell>
          <cell r="I279" t="str">
            <v>4837671</v>
          </cell>
        </row>
        <row r="280">
          <cell r="A280">
            <v>44628.6875</v>
          </cell>
          <cell r="H280" t="str">
            <v>Nick C</v>
          </cell>
          <cell r="I280" t="str">
            <v>4829524</v>
          </cell>
        </row>
        <row r="281">
          <cell r="A281">
            <v>44628.6875</v>
          </cell>
          <cell r="H281" t="str">
            <v>Nick C</v>
          </cell>
          <cell r="I281" t="str">
            <v>4797014</v>
          </cell>
        </row>
        <row r="282">
          <cell r="A282">
            <v>44628.6875</v>
          </cell>
          <cell r="H282" t="str">
            <v>Nick C</v>
          </cell>
          <cell r="I282" t="str">
            <v>4677226</v>
          </cell>
        </row>
        <row r="283">
          <cell r="A283">
            <v>44628.6875</v>
          </cell>
          <cell r="H283" t="str">
            <v>Nick C</v>
          </cell>
          <cell r="I283" t="str">
            <v>4609540</v>
          </cell>
        </row>
        <row r="284">
          <cell r="A284">
            <v>44635.6875</v>
          </cell>
          <cell r="H284" t="str">
            <v>Ethan U</v>
          </cell>
          <cell r="I284" t="str">
            <v>4794963</v>
          </cell>
        </row>
        <row r="285">
          <cell r="A285">
            <v>44635.6875</v>
          </cell>
          <cell r="H285" t="str">
            <v>Ethan U</v>
          </cell>
          <cell r="I285" t="str">
            <v>4793582</v>
          </cell>
        </row>
        <row r="286">
          <cell r="A286">
            <v>44635.6875</v>
          </cell>
          <cell r="H286" t="str">
            <v>Ethan U</v>
          </cell>
          <cell r="I286" t="str">
            <v>4793482</v>
          </cell>
        </row>
        <row r="287">
          <cell r="A287">
            <v>44635.6875</v>
          </cell>
          <cell r="H287" t="str">
            <v>Ethan U</v>
          </cell>
          <cell r="I287" t="str">
            <v>4843002</v>
          </cell>
        </row>
        <row r="288">
          <cell r="A288">
            <v>44635.6875</v>
          </cell>
          <cell r="H288" t="str">
            <v>Ethan U</v>
          </cell>
          <cell r="I288" t="str">
            <v>4669222</v>
          </cell>
        </row>
        <row r="289">
          <cell r="A289">
            <v>44635.6875</v>
          </cell>
          <cell r="H289" t="str">
            <v>Ethan U</v>
          </cell>
          <cell r="I289" t="str">
            <v>4793496</v>
          </cell>
        </row>
        <row r="290">
          <cell r="A290">
            <v>44629.645833333343</v>
          </cell>
          <cell r="H290" t="str">
            <v>Joe Nogo</v>
          </cell>
          <cell r="I290" t="str">
            <v>4811726</v>
          </cell>
        </row>
        <row r="291">
          <cell r="A291">
            <v>44629.645833333343</v>
          </cell>
          <cell r="H291" t="str">
            <v>Joe Nogo</v>
          </cell>
          <cell r="I291" t="str">
            <v>4832450</v>
          </cell>
        </row>
        <row r="292">
          <cell r="A292">
            <v>44629.645833333343</v>
          </cell>
          <cell r="H292" t="str">
            <v>Joe Nogo</v>
          </cell>
          <cell r="I292" t="str">
            <v>4879327</v>
          </cell>
        </row>
        <row r="293">
          <cell r="A293">
            <v>44636.645833333343</v>
          </cell>
          <cell r="H293" t="str">
            <v>Ross K</v>
          </cell>
          <cell r="I293" t="str">
            <v>4849080</v>
          </cell>
        </row>
        <row r="294">
          <cell r="A294">
            <v>44636.645833333343</v>
          </cell>
          <cell r="H294" t="str">
            <v>Joe Nogo</v>
          </cell>
          <cell r="I294" t="str">
            <v>4845367</v>
          </cell>
        </row>
        <row r="295">
          <cell r="A295">
            <v>44636.645833333343</v>
          </cell>
          <cell r="H295" t="str">
            <v>Ross K</v>
          </cell>
          <cell r="I295" t="str">
            <v>4848890</v>
          </cell>
        </row>
        <row r="296">
          <cell r="A296">
            <v>44636.645833333343</v>
          </cell>
          <cell r="H296" t="str">
            <v>Joe Nogo</v>
          </cell>
          <cell r="I296" t="str">
            <v>4446012</v>
          </cell>
        </row>
        <row r="297">
          <cell r="A297">
            <v>44636.645833333343</v>
          </cell>
          <cell r="H297" t="str">
            <v>Ross K</v>
          </cell>
          <cell r="I297" t="str">
            <v>4644836</v>
          </cell>
        </row>
        <row r="298">
          <cell r="A298">
            <v>44629.645833333343</v>
          </cell>
          <cell r="H298" t="str">
            <v>Joe Nogo</v>
          </cell>
          <cell r="I298" t="str">
            <v>4805707</v>
          </cell>
        </row>
        <row r="299">
          <cell r="A299">
            <v>44629.6875</v>
          </cell>
          <cell r="H299" t="str">
            <v>Joe Nogo</v>
          </cell>
          <cell r="I299" t="str">
            <v>4824928</v>
          </cell>
        </row>
        <row r="300">
          <cell r="A300">
            <v>44629.6875</v>
          </cell>
          <cell r="H300" t="str">
            <v>Ross K</v>
          </cell>
          <cell r="I300" t="str">
            <v>4880081</v>
          </cell>
        </row>
        <row r="301">
          <cell r="A301">
            <v>44629.6875</v>
          </cell>
          <cell r="H301" t="str">
            <v>Joe Nogo</v>
          </cell>
          <cell r="I301" t="str">
            <v>4862559</v>
          </cell>
        </row>
        <row r="302">
          <cell r="A302">
            <v>44629.6875</v>
          </cell>
          <cell r="H302" t="str">
            <v>Joe Nogo</v>
          </cell>
          <cell r="I302" t="str">
            <v>4850744</v>
          </cell>
        </row>
        <row r="303">
          <cell r="A303">
            <v>44629.6875</v>
          </cell>
          <cell r="H303" t="str">
            <v>Joe Nogo</v>
          </cell>
          <cell r="I303" t="str">
            <v>4834290</v>
          </cell>
        </row>
        <row r="304">
          <cell r="A304">
            <v>44629.6875</v>
          </cell>
          <cell r="H304" t="str">
            <v>Ross K</v>
          </cell>
          <cell r="I304" t="str">
            <v>4880121</v>
          </cell>
        </row>
        <row r="305">
          <cell r="A305">
            <v>44629.6875</v>
          </cell>
          <cell r="H305" t="str">
            <v>Ross K</v>
          </cell>
          <cell r="I305" t="str">
            <v>4819325</v>
          </cell>
        </row>
        <row r="306">
          <cell r="A306">
            <v>44629.6875</v>
          </cell>
          <cell r="H306" t="str">
            <v>Ross K</v>
          </cell>
          <cell r="I306" t="str">
            <v>4874704</v>
          </cell>
        </row>
        <row r="307">
          <cell r="A307">
            <v>44636.6875</v>
          </cell>
          <cell r="H307" t="str">
            <v>Ross K</v>
          </cell>
          <cell r="I307" t="str">
            <v>4817280</v>
          </cell>
        </row>
        <row r="308">
          <cell r="A308">
            <v>44636.6875</v>
          </cell>
          <cell r="H308" t="str">
            <v>Ethan U</v>
          </cell>
          <cell r="I308" t="str">
            <v>4793601</v>
          </cell>
        </row>
        <row r="309">
          <cell r="A309">
            <v>44636.6875</v>
          </cell>
          <cell r="H309" t="str">
            <v>Ethan U</v>
          </cell>
          <cell r="I309" t="str">
            <v>4793730</v>
          </cell>
        </row>
        <row r="310">
          <cell r="A310">
            <v>44636.6875</v>
          </cell>
          <cell r="H310" t="str">
            <v>Ethan U</v>
          </cell>
          <cell r="I310" t="str">
            <v>4829440</v>
          </cell>
        </row>
        <row r="311">
          <cell r="A311">
            <v>44636.6875</v>
          </cell>
          <cell r="H311" t="str">
            <v>Ethan U</v>
          </cell>
          <cell r="I311" t="str">
            <v>4597157</v>
          </cell>
        </row>
        <row r="312">
          <cell r="A312">
            <v>44632.645833333343</v>
          </cell>
          <cell r="H312" t="str">
            <v>Ethan U</v>
          </cell>
          <cell r="I312" t="str">
            <v>4841755</v>
          </cell>
        </row>
        <row r="313">
          <cell r="A313">
            <v>44632.645833333343</v>
          </cell>
          <cell r="H313" t="str">
            <v>Ethan U</v>
          </cell>
          <cell r="I313" t="str">
            <v>4829199</v>
          </cell>
        </row>
        <row r="314">
          <cell r="A314">
            <v>44632.645833333343</v>
          </cell>
          <cell r="H314" t="str">
            <v>Ethan U</v>
          </cell>
          <cell r="I314" t="str">
            <v>4841848</v>
          </cell>
        </row>
        <row r="315">
          <cell r="A315">
            <v>44639.645833333343</v>
          </cell>
          <cell r="H315" t="str">
            <v>Ethan U</v>
          </cell>
          <cell r="I315" t="str">
            <v>4806955</v>
          </cell>
        </row>
        <row r="316">
          <cell r="A316">
            <v>44632.645833333343</v>
          </cell>
          <cell r="H316" t="str">
            <v>Ethan U</v>
          </cell>
          <cell r="I316" t="str">
            <v>4794255</v>
          </cell>
        </row>
        <row r="317">
          <cell r="A317">
            <v>44639.645833333343</v>
          </cell>
          <cell r="H317" t="str">
            <v>Ethan U</v>
          </cell>
          <cell r="I317" t="str">
            <v>4806914</v>
          </cell>
        </row>
        <row r="318">
          <cell r="A318">
            <v>44639.645833333343</v>
          </cell>
          <cell r="H318" t="str">
            <v>Ethan U</v>
          </cell>
          <cell r="I318" t="str">
            <v>4861211</v>
          </cell>
        </row>
        <row r="319">
          <cell r="A319">
            <v>44632.645833333343</v>
          </cell>
          <cell r="H319" t="str">
            <v>Ethan U</v>
          </cell>
          <cell r="I319" t="str">
            <v>4890803</v>
          </cell>
        </row>
        <row r="320">
          <cell r="A320">
            <v>44632.6875</v>
          </cell>
          <cell r="H320" t="str">
            <v>Ethan U</v>
          </cell>
          <cell r="I320" t="str">
            <v>4797047</v>
          </cell>
        </row>
        <row r="321">
          <cell r="A321">
            <v>44632.6875</v>
          </cell>
          <cell r="H321" t="str">
            <v>Ethan U</v>
          </cell>
          <cell r="I321" t="str">
            <v>4834175</v>
          </cell>
        </row>
        <row r="322">
          <cell r="A322">
            <v>44632.6875</v>
          </cell>
          <cell r="H322" t="str">
            <v>Ethan U</v>
          </cell>
          <cell r="I322" t="str">
            <v>4869037</v>
          </cell>
        </row>
        <row r="323">
          <cell r="A323">
            <v>44632.6875</v>
          </cell>
          <cell r="H323" t="str">
            <v>Ethan U</v>
          </cell>
          <cell r="I323" t="str">
            <v>4809209</v>
          </cell>
        </row>
        <row r="324">
          <cell r="A324">
            <v>44632.6875</v>
          </cell>
          <cell r="H324" t="str">
            <v>Ethan U</v>
          </cell>
          <cell r="I324" t="str">
            <v>4840858</v>
          </cell>
        </row>
        <row r="325">
          <cell r="A325">
            <v>44632.6875</v>
          </cell>
          <cell r="H325" t="str">
            <v>Ethan U</v>
          </cell>
          <cell r="I325" t="str">
            <v>4800640</v>
          </cell>
        </row>
        <row r="326">
          <cell r="A326">
            <v>44639.6875</v>
          </cell>
          <cell r="H326" t="str">
            <v>Joe Nogo</v>
          </cell>
          <cell r="I326" t="str">
            <v>4808188</v>
          </cell>
        </row>
        <row r="327">
          <cell r="A327">
            <v>44639.6875</v>
          </cell>
          <cell r="H327" t="str">
            <v>Joe Nogo</v>
          </cell>
          <cell r="I327" t="str">
            <v>4807294</v>
          </cell>
        </row>
        <row r="328">
          <cell r="A328">
            <v>44639.6875</v>
          </cell>
          <cell r="H328" t="str">
            <v>Joe Nogo</v>
          </cell>
          <cell r="I328" t="str">
            <v>4793514</v>
          </cell>
        </row>
        <row r="329">
          <cell r="A329">
            <v>44639.6875</v>
          </cell>
          <cell r="H329" t="str">
            <v>Ethan U</v>
          </cell>
          <cell r="I329" t="str">
            <v>4831141</v>
          </cell>
        </row>
        <row r="330">
          <cell r="A330">
            <v>44639.6875</v>
          </cell>
          <cell r="H330" t="str">
            <v>Ethan U</v>
          </cell>
          <cell r="I330" t="str">
            <v>4799539</v>
          </cell>
        </row>
        <row r="331">
          <cell r="A331">
            <v>44639.6875</v>
          </cell>
          <cell r="H331" t="str">
            <v>Ethan U</v>
          </cell>
          <cell r="I331" t="str">
            <v>4759311</v>
          </cell>
        </row>
        <row r="332">
          <cell r="A332">
            <v>44632.729166666657</v>
          </cell>
          <cell r="H332" t="str">
            <v>Ethan U</v>
          </cell>
          <cell r="I332" t="str">
            <v>4807101</v>
          </cell>
        </row>
        <row r="333">
          <cell r="A333">
            <v>44632.729166666657</v>
          </cell>
          <cell r="H333" t="str">
            <v>Joe Nogo</v>
          </cell>
          <cell r="I333" t="str">
            <v>4860449</v>
          </cell>
        </row>
        <row r="334">
          <cell r="A334">
            <v>44640.645833333343</v>
          </cell>
          <cell r="H334" t="str">
            <v>Joe Nogo</v>
          </cell>
          <cell r="I334" t="str">
            <v>4794437</v>
          </cell>
        </row>
        <row r="335">
          <cell r="A335">
            <v>44640.645833333343</v>
          </cell>
          <cell r="H335" t="str">
            <v>Joe Nogo</v>
          </cell>
          <cell r="I335" t="str">
            <v>4758598</v>
          </cell>
        </row>
        <row r="336">
          <cell r="A336">
            <v>44633.6875</v>
          </cell>
          <cell r="H336" t="str">
            <v>Ethan U</v>
          </cell>
          <cell r="I336" t="str">
            <v>4809469</v>
          </cell>
        </row>
        <row r="337">
          <cell r="A337">
            <v>44640.6875</v>
          </cell>
          <cell r="H337" t="str">
            <v>Ethan U</v>
          </cell>
          <cell r="I337" t="str">
            <v>4838150</v>
          </cell>
        </row>
        <row r="338">
          <cell r="A338">
            <v>44640.6875</v>
          </cell>
          <cell r="H338" t="str">
            <v>Ethan U</v>
          </cell>
          <cell r="I338" t="str">
            <v>4839317</v>
          </cell>
        </row>
        <row r="339">
          <cell r="A339">
            <v>44640.6875</v>
          </cell>
          <cell r="H339" t="str">
            <v>Ethan U</v>
          </cell>
          <cell r="I339" t="str">
            <v>4838857</v>
          </cell>
        </row>
        <row r="340">
          <cell r="A340">
            <v>44633.729166666657</v>
          </cell>
          <cell r="H340" t="str">
            <v>Ethan U</v>
          </cell>
          <cell r="I340" t="str">
            <v>4871116</v>
          </cell>
        </row>
        <row r="341">
          <cell r="A341">
            <v>44633.729166666657</v>
          </cell>
          <cell r="H341" t="str">
            <v>Ethan U</v>
          </cell>
          <cell r="I341" t="str">
            <v>4827595</v>
          </cell>
        </row>
        <row r="342">
          <cell r="A342">
            <v>44633.729166666657</v>
          </cell>
          <cell r="H342" t="str">
            <v>Nick C</v>
          </cell>
          <cell r="I342" t="str">
            <v>4808104</v>
          </cell>
        </row>
        <row r="343">
          <cell r="A343">
            <v>44633.729166666657</v>
          </cell>
          <cell r="H343" t="str">
            <v>Nick C</v>
          </cell>
          <cell r="I343" t="str">
            <v>4828371</v>
          </cell>
        </row>
        <row r="344">
          <cell r="A344">
            <v>44633.729166666657</v>
          </cell>
          <cell r="H344" t="str">
            <v>Nick C</v>
          </cell>
          <cell r="I344" t="str">
            <v>4810574</v>
          </cell>
        </row>
        <row r="345">
          <cell r="A345">
            <v>44633.729166666657</v>
          </cell>
          <cell r="H345" t="str">
            <v>Nick C</v>
          </cell>
          <cell r="I345" t="str">
            <v>4808064</v>
          </cell>
        </row>
        <row r="346">
          <cell r="A346">
            <v>44640.729166666657</v>
          </cell>
          <cell r="H346" t="str">
            <v>Ross K</v>
          </cell>
          <cell r="I346" t="str">
            <v>4807085</v>
          </cell>
        </row>
        <row r="347">
          <cell r="A347">
            <v>44640.729166666657</v>
          </cell>
          <cell r="H347" t="str">
            <v>Ross K</v>
          </cell>
          <cell r="I347" t="str">
            <v>4809646</v>
          </cell>
        </row>
        <row r="348">
          <cell r="A348">
            <v>44640.729166666657</v>
          </cell>
          <cell r="H348" t="str">
            <v>Ross K</v>
          </cell>
          <cell r="I348" t="str">
            <v>4807230</v>
          </cell>
        </row>
        <row r="349">
          <cell r="A349">
            <v>44640.729166666657</v>
          </cell>
          <cell r="H349" t="str">
            <v>Ross K</v>
          </cell>
          <cell r="I349" t="str">
            <v>4813995</v>
          </cell>
        </row>
        <row r="350">
          <cell r="A350">
            <v>44640.729166666657</v>
          </cell>
          <cell r="H350" t="str">
            <v>Ethan U</v>
          </cell>
          <cell r="I350" t="str">
            <v>4793521</v>
          </cell>
        </row>
        <row r="351">
          <cell r="A351">
            <v>44634.645833333343</v>
          </cell>
          <cell r="H351" t="str">
            <v>Ethan U</v>
          </cell>
          <cell r="I351" t="str">
            <v>4871884</v>
          </cell>
        </row>
        <row r="352">
          <cell r="A352">
            <v>44634.645833333343</v>
          </cell>
          <cell r="H352" t="str">
            <v>Ethan U</v>
          </cell>
          <cell r="I352" t="str">
            <v>4880870</v>
          </cell>
        </row>
        <row r="353">
          <cell r="A353">
            <v>44634.6875</v>
          </cell>
          <cell r="H353" t="str">
            <v>Ethan U</v>
          </cell>
          <cell r="I353" t="str">
            <v>4548620</v>
          </cell>
        </row>
        <row r="354">
          <cell r="A354">
            <v>44634.6875</v>
          </cell>
          <cell r="H354" t="str">
            <v>Joe Nogo</v>
          </cell>
          <cell r="I354" t="str">
            <v>4822216</v>
          </cell>
        </row>
        <row r="355">
          <cell r="A355">
            <v>44634.6875</v>
          </cell>
          <cell r="H355" t="str">
            <v>Joe Nogo</v>
          </cell>
          <cell r="I355" t="str">
            <v>4836277</v>
          </cell>
        </row>
        <row r="356">
          <cell r="A356">
            <v>44634.729166666657</v>
          </cell>
          <cell r="H356" t="str">
            <v>Joe Nogo</v>
          </cell>
          <cell r="I356" t="str">
            <v>4823229</v>
          </cell>
        </row>
        <row r="357">
          <cell r="A357">
            <v>44641.729166666657</v>
          </cell>
          <cell r="H357" t="str">
            <v>Nick C</v>
          </cell>
          <cell r="I357" t="str">
            <v>4820308</v>
          </cell>
        </row>
        <row r="358">
          <cell r="A358">
            <v>44641.729166666657</v>
          </cell>
          <cell r="H358" t="str">
            <v>Nick C</v>
          </cell>
          <cell r="I358" t="str">
            <v>4820987</v>
          </cell>
        </row>
        <row r="359">
          <cell r="A359">
            <v>44641.729166666657</v>
          </cell>
          <cell r="H359" t="str">
            <v>Nick C</v>
          </cell>
          <cell r="I359" t="str">
            <v>4845556</v>
          </cell>
        </row>
        <row r="360">
          <cell r="A360">
            <v>44641.729166666657</v>
          </cell>
          <cell r="H360" t="str">
            <v>Nick C</v>
          </cell>
          <cell r="I360" t="str">
            <v>4793483</v>
          </cell>
        </row>
        <row r="361">
          <cell r="A361">
            <v>44641.729166666657</v>
          </cell>
          <cell r="H361" t="str">
            <v>Nick C</v>
          </cell>
          <cell r="I361" t="str">
            <v>4799660</v>
          </cell>
        </row>
        <row r="362">
          <cell r="A362">
            <v>44635.645833333343</v>
          </cell>
          <cell r="H362" t="str">
            <v>Ethan U</v>
          </cell>
          <cell r="I362" t="str">
            <v>4870322</v>
          </cell>
        </row>
        <row r="363">
          <cell r="A363">
            <v>44635.645833333343</v>
          </cell>
          <cell r="H363" t="str">
            <v>Joe Nogo</v>
          </cell>
          <cell r="I363" t="str">
            <v>4794121</v>
          </cell>
        </row>
        <row r="364">
          <cell r="A364">
            <v>44635.645833333343</v>
          </cell>
          <cell r="H364" t="str">
            <v>Ethan U</v>
          </cell>
          <cell r="I364" t="str">
            <v>4846693</v>
          </cell>
        </row>
        <row r="365">
          <cell r="A365">
            <v>44635.645833333343</v>
          </cell>
          <cell r="H365" t="str">
            <v>Joe Nogo</v>
          </cell>
          <cell r="I365" t="str">
            <v>4876210</v>
          </cell>
        </row>
        <row r="366">
          <cell r="A366">
            <v>44642.645833333343</v>
          </cell>
          <cell r="H366" t="str">
            <v>Nick C</v>
          </cell>
          <cell r="I366" t="str">
            <v>4840181</v>
          </cell>
        </row>
        <row r="367">
          <cell r="A367">
            <v>44642.645833333343</v>
          </cell>
          <cell r="H367" t="str">
            <v>Nick C</v>
          </cell>
          <cell r="I367" t="str">
            <v>4793541</v>
          </cell>
        </row>
        <row r="368">
          <cell r="A368">
            <v>44635.645833333343</v>
          </cell>
          <cell r="H368" t="str">
            <v>Nick C</v>
          </cell>
          <cell r="I368" t="str">
            <v>4793774</v>
          </cell>
        </row>
        <row r="369">
          <cell r="A369">
            <v>44642.645833333343</v>
          </cell>
          <cell r="H369" t="str">
            <v>Nick C</v>
          </cell>
          <cell r="I369" t="str">
            <v>4793552</v>
          </cell>
        </row>
        <row r="370">
          <cell r="A370">
            <v>44642.645833333343</v>
          </cell>
          <cell r="H370" t="str">
            <v>Nick C</v>
          </cell>
          <cell r="I370" t="str">
            <v>4793576</v>
          </cell>
        </row>
        <row r="371">
          <cell r="A371">
            <v>44642.645833333343</v>
          </cell>
          <cell r="H371" t="str">
            <v>Nick C</v>
          </cell>
          <cell r="I371" t="str">
            <v>4794407</v>
          </cell>
        </row>
        <row r="372">
          <cell r="A372">
            <v>44642.6875</v>
          </cell>
          <cell r="H372" t="str">
            <v>Ethan U</v>
          </cell>
          <cell r="I372" t="str">
            <v>4805634</v>
          </cell>
        </row>
        <row r="373">
          <cell r="A373">
            <v>44642.6875</v>
          </cell>
          <cell r="H373" t="str">
            <v>Ethan U</v>
          </cell>
          <cell r="I373" t="str">
            <v>4817575</v>
          </cell>
        </row>
        <row r="374">
          <cell r="A374">
            <v>44642.6875</v>
          </cell>
          <cell r="H374" t="str">
            <v>Ethan U</v>
          </cell>
          <cell r="I374" t="str">
            <v>4793639</v>
          </cell>
        </row>
        <row r="375">
          <cell r="A375">
            <v>44642.6875</v>
          </cell>
          <cell r="H375" t="str">
            <v>Ethan U</v>
          </cell>
          <cell r="I375" t="str">
            <v>4808540</v>
          </cell>
        </row>
        <row r="376">
          <cell r="A376">
            <v>44642.729166666657</v>
          </cell>
          <cell r="H376" t="str">
            <v>Ethan U</v>
          </cell>
          <cell r="I376" t="str">
            <v>4793700</v>
          </cell>
        </row>
        <row r="377">
          <cell r="A377">
            <v>44642.729166666657</v>
          </cell>
          <cell r="H377" t="str">
            <v>Ethan U</v>
          </cell>
          <cell r="I377" t="str">
            <v>4777316</v>
          </cell>
        </row>
        <row r="378">
          <cell r="A378">
            <v>44636.645833333343</v>
          </cell>
          <cell r="H378" t="str">
            <v>Nick C</v>
          </cell>
          <cell r="I378" t="str">
            <v>4887934</v>
          </cell>
        </row>
        <row r="379">
          <cell r="A379">
            <v>44636.645833333343</v>
          </cell>
          <cell r="H379" t="str">
            <v>Nick C</v>
          </cell>
          <cell r="I379" t="str">
            <v>4887957</v>
          </cell>
        </row>
        <row r="380">
          <cell r="A380">
            <v>44636.645833333343</v>
          </cell>
          <cell r="H380" t="str">
            <v>Nick C</v>
          </cell>
          <cell r="I380" t="str">
            <v>4871696</v>
          </cell>
        </row>
        <row r="381">
          <cell r="A381">
            <v>44643.645833333343</v>
          </cell>
          <cell r="H381" t="str">
            <v>Nick C</v>
          </cell>
          <cell r="I381" t="str">
            <v>4832450</v>
          </cell>
        </row>
        <row r="382">
          <cell r="A382">
            <v>44643.645833333343</v>
          </cell>
          <cell r="H382" t="str">
            <v>Nick C</v>
          </cell>
          <cell r="I382" t="str">
            <v>4743059</v>
          </cell>
        </row>
        <row r="383">
          <cell r="A383">
            <v>44636.6875</v>
          </cell>
          <cell r="H383" t="str">
            <v>Joe Nogo</v>
          </cell>
          <cell r="I383" t="str">
            <v>4829193</v>
          </cell>
        </row>
        <row r="384">
          <cell r="A384">
            <v>44636.6875</v>
          </cell>
          <cell r="H384" t="str">
            <v>Joe Nogo</v>
          </cell>
          <cell r="I384" t="str">
            <v>4871259</v>
          </cell>
        </row>
        <row r="385">
          <cell r="A385">
            <v>44636.6875</v>
          </cell>
          <cell r="H385" t="str">
            <v>Ethan U</v>
          </cell>
          <cell r="I385" t="str">
            <v>4889289</v>
          </cell>
        </row>
        <row r="386">
          <cell r="A386">
            <v>44643.6875</v>
          </cell>
          <cell r="H386" t="str">
            <v>Ethan U</v>
          </cell>
          <cell r="I386" t="str">
            <v>4793582</v>
          </cell>
        </row>
        <row r="387">
          <cell r="A387">
            <v>44643.6875</v>
          </cell>
          <cell r="H387" t="str">
            <v>Ethan U</v>
          </cell>
          <cell r="I387" t="str">
            <v>4793730</v>
          </cell>
        </row>
        <row r="388">
          <cell r="A388">
            <v>44643.6875</v>
          </cell>
          <cell r="H388" t="str">
            <v>Ethan U</v>
          </cell>
          <cell r="I388" t="str">
            <v>4793601</v>
          </cell>
        </row>
        <row r="389">
          <cell r="A389">
            <v>44639.645833333343</v>
          </cell>
          <cell r="H389" t="str">
            <v>Nick C</v>
          </cell>
          <cell r="I389" t="str">
            <v>4800498</v>
          </cell>
        </row>
        <row r="390">
          <cell r="A390">
            <v>44639.645833333343</v>
          </cell>
          <cell r="H390" t="str">
            <v>Ethan U</v>
          </cell>
          <cell r="I390" t="str">
            <v>4891244</v>
          </cell>
        </row>
        <row r="391">
          <cell r="A391">
            <v>44639.645833333343</v>
          </cell>
          <cell r="H391" t="str">
            <v>Nick C</v>
          </cell>
          <cell r="I391" t="str">
            <v>4794392</v>
          </cell>
        </row>
        <row r="392">
          <cell r="A392">
            <v>44639.645833333343</v>
          </cell>
          <cell r="H392" t="str">
            <v>Ethan U</v>
          </cell>
          <cell r="I392" t="str">
            <v>4880209</v>
          </cell>
        </row>
        <row r="393">
          <cell r="A393">
            <v>44646.645833333343</v>
          </cell>
          <cell r="H393" t="str">
            <v>Nick C</v>
          </cell>
          <cell r="I393" t="str">
            <v>4809209</v>
          </cell>
        </row>
        <row r="394">
          <cell r="A394">
            <v>44646.645833333343</v>
          </cell>
          <cell r="H394" t="str">
            <v>Nick C</v>
          </cell>
          <cell r="I394" t="str">
            <v>4811726</v>
          </cell>
        </row>
        <row r="395">
          <cell r="A395">
            <v>44646.645833333343</v>
          </cell>
          <cell r="H395" t="str">
            <v>Nick C</v>
          </cell>
          <cell r="I395" t="str">
            <v>4802961</v>
          </cell>
        </row>
        <row r="396">
          <cell r="A396">
            <v>44639.6875</v>
          </cell>
          <cell r="H396" t="str">
            <v>Ross K</v>
          </cell>
          <cell r="I396" t="str">
            <v>4881043</v>
          </cell>
        </row>
        <row r="397">
          <cell r="A397">
            <v>44639.6875</v>
          </cell>
          <cell r="H397" t="str">
            <v>Ross K</v>
          </cell>
          <cell r="I397" t="str">
            <v>4881103</v>
          </cell>
        </row>
        <row r="398">
          <cell r="A398">
            <v>44639.6875</v>
          </cell>
          <cell r="H398" t="str">
            <v>Ross K</v>
          </cell>
          <cell r="I398" t="str">
            <v>4881068</v>
          </cell>
        </row>
        <row r="399">
          <cell r="A399">
            <v>44639.6875</v>
          </cell>
          <cell r="H399" t="str">
            <v>Ross K</v>
          </cell>
          <cell r="I399" t="str">
            <v>4880931</v>
          </cell>
        </row>
        <row r="400">
          <cell r="A400">
            <v>44639.6875</v>
          </cell>
          <cell r="H400" t="str">
            <v>Ross K</v>
          </cell>
          <cell r="I400" t="str">
            <v>4880857</v>
          </cell>
        </row>
        <row r="401">
          <cell r="A401">
            <v>44639.6875</v>
          </cell>
          <cell r="H401" t="str">
            <v>Ross K</v>
          </cell>
          <cell r="I401" t="str">
            <v>4881081</v>
          </cell>
        </row>
        <row r="402">
          <cell r="A402">
            <v>44639.6875</v>
          </cell>
          <cell r="H402" t="str">
            <v>Ross K</v>
          </cell>
          <cell r="I402" t="str">
            <v>4887924</v>
          </cell>
        </row>
        <row r="403">
          <cell r="A403">
            <v>44639.6875</v>
          </cell>
          <cell r="H403" t="str">
            <v>Ross K</v>
          </cell>
          <cell r="I403" t="str">
            <v>4881005</v>
          </cell>
        </row>
        <row r="404">
          <cell r="A404">
            <v>44639.6875</v>
          </cell>
          <cell r="H404" t="str">
            <v>Nick C</v>
          </cell>
          <cell r="I404" t="str">
            <v>4805377</v>
          </cell>
        </row>
        <row r="405">
          <cell r="A405">
            <v>44639.6875</v>
          </cell>
          <cell r="H405" t="str">
            <v>Ethan U</v>
          </cell>
          <cell r="I405" t="str">
            <v>4882801</v>
          </cell>
        </row>
        <row r="406">
          <cell r="A406">
            <v>44639.6875</v>
          </cell>
          <cell r="H406" t="str">
            <v>Nick C</v>
          </cell>
          <cell r="I406" t="str">
            <v>4834904</v>
          </cell>
        </row>
        <row r="407">
          <cell r="A407">
            <v>44639.6875</v>
          </cell>
          <cell r="H407" t="str">
            <v>Ethan U</v>
          </cell>
          <cell r="I407" t="str">
            <v>4877643</v>
          </cell>
        </row>
        <row r="408">
          <cell r="A408">
            <v>44639.6875</v>
          </cell>
          <cell r="H408" t="str">
            <v>Ethan U</v>
          </cell>
          <cell r="I408" t="str">
            <v>4888847</v>
          </cell>
        </row>
        <row r="409">
          <cell r="A409">
            <v>44646.6875</v>
          </cell>
          <cell r="H409" t="str">
            <v>Ethan U</v>
          </cell>
          <cell r="I409" t="str">
            <v>4794451</v>
          </cell>
        </row>
        <row r="410">
          <cell r="A410">
            <v>44646.6875</v>
          </cell>
          <cell r="H410" t="str">
            <v>Ethan U</v>
          </cell>
          <cell r="I410" t="str">
            <v>4880081</v>
          </cell>
        </row>
        <row r="411">
          <cell r="A411">
            <v>44646.6875</v>
          </cell>
          <cell r="H411" t="str">
            <v>Ethan U</v>
          </cell>
          <cell r="I411" t="str">
            <v>4793491</v>
          </cell>
        </row>
        <row r="412">
          <cell r="A412">
            <v>44646.6875</v>
          </cell>
          <cell r="H412" t="str">
            <v>Nick C</v>
          </cell>
          <cell r="I412" t="str">
            <v>4794669</v>
          </cell>
        </row>
        <row r="413">
          <cell r="A413">
            <v>44646.6875</v>
          </cell>
          <cell r="H413" t="str">
            <v>Nick C</v>
          </cell>
          <cell r="I413" t="str">
            <v>4820744</v>
          </cell>
        </row>
        <row r="414">
          <cell r="A414">
            <v>44646.6875</v>
          </cell>
          <cell r="H414" t="str">
            <v>Nick C</v>
          </cell>
          <cell r="I414" t="str">
            <v>4794627</v>
          </cell>
        </row>
        <row r="415">
          <cell r="A415">
            <v>44646.6875</v>
          </cell>
          <cell r="H415" t="str">
            <v>Nick C</v>
          </cell>
          <cell r="I415" t="str">
            <v>4794584</v>
          </cell>
        </row>
        <row r="416">
          <cell r="A416">
            <v>44646.6875</v>
          </cell>
          <cell r="H416" t="str">
            <v>Ethan U</v>
          </cell>
          <cell r="I416" t="str">
            <v>4841002</v>
          </cell>
        </row>
        <row r="417">
          <cell r="A417">
            <v>44646.6875</v>
          </cell>
          <cell r="H417" t="str">
            <v>Ethan U</v>
          </cell>
          <cell r="I417" t="str">
            <v>4819325</v>
          </cell>
        </row>
        <row r="418">
          <cell r="A418">
            <v>44646.6875</v>
          </cell>
          <cell r="H418" t="str">
            <v>Ethan U</v>
          </cell>
          <cell r="I418" t="str">
            <v>4793482</v>
          </cell>
        </row>
        <row r="419">
          <cell r="A419">
            <v>44646.6875</v>
          </cell>
          <cell r="H419" t="str">
            <v>Ethan U</v>
          </cell>
          <cell r="I419" t="str">
            <v>4829524</v>
          </cell>
        </row>
        <row r="420">
          <cell r="A420">
            <v>44646.6875</v>
          </cell>
          <cell r="H420" t="str">
            <v>Ethan U</v>
          </cell>
          <cell r="I420" t="str">
            <v>4669222</v>
          </cell>
        </row>
        <row r="421">
          <cell r="A421">
            <v>44646.6875</v>
          </cell>
          <cell r="H421" t="str">
            <v>Ethan U</v>
          </cell>
          <cell r="I421" t="str">
            <v>4677226</v>
          </cell>
        </row>
        <row r="422">
          <cell r="A422">
            <v>44647.645833333343</v>
          </cell>
          <cell r="H422" t="str">
            <v>Ethan U</v>
          </cell>
          <cell r="I422" t="str">
            <v>4840862</v>
          </cell>
        </row>
        <row r="423">
          <cell r="A423">
            <v>44647.645833333343</v>
          </cell>
          <cell r="H423" t="str">
            <v>Ethan U</v>
          </cell>
          <cell r="I423" t="str">
            <v>4809469</v>
          </cell>
        </row>
        <row r="424">
          <cell r="A424">
            <v>44640.6875</v>
          </cell>
          <cell r="H424" t="str">
            <v>Nick C</v>
          </cell>
          <cell r="I424" t="str">
            <v>4886759</v>
          </cell>
        </row>
        <row r="425">
          <cell r="A425">
            <v>44640.6875</v>
          </cell>
          <cell r="H425" t="str">
            <v>Nick C</v>
          </cell>
          <cell r="I425" t="str">
            <v>4886417</v>
          </cell>
        </row>
        <row r="426">
          <cell r="A426">
            <v>44640.6875</v>
          </cell>
          <cell r="H426" t="str">
            <v>Nick C</v>
          </cell>
          <cell r="I426" t="str">
            <v>4886645</v>
          </cell>
        </row>
        <row r="427">
          <cell r="A427">
            <v>44640.6875</v>
          </cell>
          <cell r="H427" t="str">
            <v>Nick C</v>
          </cell>
          <cell r="I427" t="str">
            <v>4886527</v>
          </cell>
        </row>
        <row r="428">
          <cell r="A428">
            <v>44640.6875</v>
          </cell>
          <cell r="H428" t="str">
            <v>Nick C</v>
          </cell>
          <cell r="I428" t="str">
            <v>4880889</v>
          </cell>
        </row>
        <row r="429">
          <cell r="A429">
            <v>44640.6875</v>
          </cell>
          <cell r="H429" t="str">
            <v>Nick C</v>
          </cell>
          <cell r="I429" t="str">
            <v>4886604</v>
          </cell>
        </row>
        <row r="430">
          <cell r="A430">
            <v>44640.6875</v>
          </cell>
          <cell r="H430" t="str">
            <v>Nick C</v>
          </cell>
          <cell r="I430" t="str">
            <v>4886631</v>
          </cell>
        </row>
        <row r="431">
          <cell r="A431">
            <v>44640.6875</v>
          </cell>
          <cell r="H431" t="str">
            <v>Nick C</v>
          </cell>
          <cell r="I431" t="str">
            <v>4886670</v>
          </cell>
        </row>
        <row r="432">
          <cell r="A432">
            <v>44640.6875</v>
          </cell>
          <cell r="H432" t="str">
            <v>Nick C</v>
          </cell>
          <cell r="I432" t="str">
            <v>4886560</v>
          </cell>
        </row>
        <row r="433">
          <cell r="A433">
            <v>44640.6875</v>
          </cell>
          <cell r="H433" t="str">
            <v>Nick C</v>
          </cell>
          <cell r="I433" t="str">
            <v>4886722</v>
          </cell>
        </row>
        <row r="434">
          <cell r="A434">
            <v>44640.6875</v>
          </cell>
          <cell r="H434" t="str">
            <v>Nick C</v>
          </cell>
          <cell r="I434" t="str">
            <v>4886740</v>
          </cell>
        </row>
        <row r="435">
          <cell r="A435">
            <v>44640.6875</v>
          </cell>
          <cell r="H435" t="str">
            <v>Nick C</v>
          </cell>
          <cell r="I435" t="str">
            <v>4886698</v>
          </cell>
        </row>
        <row r="436">
          <cell r="A436">
            <v>44640.6875</v>
          </cell>
          <cell r="H436" t="str">
            <v>Nick C</v>
          </cell>
          <cell r="I436" t="str">
            <v>4852739</v>
          </cell>
        </row>
        <row r="437">
          <cell r="A437">
            <v>44640.6875</v>
          </cell>
          <cell r="H437" t="str">
            <v>Joe Nogo</v>
          </cell>
          <cell r="I437" t="str">
            <v>4814083</v>
          </cell>
        </row>
        <row r="438">
          <cell r="A438">
            <v>44640.6875</v>
          </cell>
          <cell r="H438" t="str">
            <v>Joe Nogo</v>
          </cell>
          <cell r="I438" t="str">
            <v>4802820</v>
          </cell>
        </row>
        <row r="439">
          <cell r="A439">
            <v>44640.6875</v>
          </cell>
          <cell r="H439" t="str">
            <v>Ethan U</v>
          </cell>
          <cell r="I439" t="str">
            <v>4795504</v>
          </cell>
        </row>
        <row r="440">
          <cell r="A440">
            <v>44640.6875</v>
          </cell>
          <cell r="H440" t="str">
            <v>Ethan U</v>
          </cell>
          <cell r="I440" t="str">
            <v>4806557</v>
          </cell>
        </row>
        <row r="441">
          <cell r="A441">
            <v>44640.6875</v>
          </cell>
          <cell r="H441" t="str">
            <v>Joe Nogo</v>
          </cell>
          <cell r="I441" t="str">
            <v>4849183</v>
          </cell>
        </row>
        <row r="442">
          <cell r="A442">
            <v>44640.6875</v>
          </cell>
          <cell r="H442" t="str">
            <v>Joe Nogo</v>
          </cell>
          <cell r="I442" t="str">
            <v>4809087</v>
          </cell>
        </row>
        <row r="443">
          <cell r="A443">
            <v>44640.6875</v>
          </cell>
          <cell r="H443" t="str">
            <v>Joe Nogo</v>
          </cell>
          <cell r="I443" t="str">
            <v>4806598</v>
          </cell>
        </row>
        <row r="444">
          <cell r="A444">
            <v>44640.6875</v>
          </cell>
          <cell r="H444" t="str">
            <v>Joe Nogo</v>
          </cell>
          <cell r="I444" t="str">
            <v>4809128</v>
          </cell>
        </row>
        <row r="445">
          <cell r="A445">
            <v>44647.6875</v>
          </cell>
          <cell r="H445" t="str">
            <v>Nick C</v>
          </cell>
          <cell r="I445" t="str">
            <v>4840911</v>
          </cell>
        </row>
        <row r="446">
          <cell r="A446">
            <v>44647.6875</v>
          </cell>
          <cell r="H446" t="str">
            <v>Ross K</v>
          </cell>
          <cell r="I446" t="str">
            <v>4802628</v>
          </cell>
        </row>
        <row r="447">
          <cell r="A447">
            <v>44647.6875</v>
          </cell>
          <cell r="H447" t="str">
            <v>Ross K</v>
          </cell>
          <cell r="I447" t="str">
            <v>4794963</v>
          </cell>
        </row>
        <row r="448">
          <cell r="A448">
            <v>44647.6875</v>
          </cell>
          <cell r="H448" t="str">
            <v>Ross K</v>
          </cell>
          <cell r="I448" t="str">
            <v>4850744</v>
          </cell>
        </row>
        <row r="449">
          <cell r="A449">
            <v>44647.6875</v>
          </cell>
          <cell r="H449" t="str">
            <v>Ross K</v>
          </cell>
          <cell r="I449" t="str">
            <v>4807101</v>
          </cell>
        </row>
        <row r="450">
          <cell r="A450">
            <v>44647.6875</v>
          </cell>
          <cell r="H450" t="str">
            <v>Ross K</v>
          </cell>
          <cell r="I450" t="str">
            <v>4824928</v>
          </cell>
        </row>
        <row r="451">
          <cell r="A451">
            <v>44647.6875</v>
          </cell>
          <cell r="H451" t="str">
            <v>Ethan U</v>
          </cell>
          <cell r="I451" t="str">
            <v>4797047</v>
          </cell>
        </row>
        <row r="452">
          <cell r="A452">
            <v>44647.6875</v>
          </cell>
          <cell r="H452" t="str">
            <v>Ethan U</v>
          </cell>
          <cell r="I452" t="str">
            <v>4786993</v>
          </cell>
        </row>
        <row r="453">
          <cell r="A453">
            <v>44640.729166666657</v>
          </cell>
          <cell r="H453" t="str">
            <v>Ethan U</v>
          </cell>
          <cell r="I453" t="str">
            <v>4895014</v>
          </cell>
        </row>
        <row r="454">
          <cell r="A454">
            <v>44640.729166666657</v>
          </cell>
          <cell r="H454" t="str">
            <v>Ross K</v>
          </cell>
          <cell r="I454" t="str">
            <v>4827758</v>
          </cell>
        </row>
        <row r="455">
          <cell r="A455">
            <v>44640.729166666657</v>
          </cell>
          <cell r="H455" t="str">
            <v>Ross K</v>
          </cell>
          <cell r="I455" t="str">
            <v>4868550</v>
          </cell>
        </row>
        <row r="456">
          <cell r="A456">
            <v>44640.729166666657</v>
          </cell>
          <cell r="H456" t="str">
            <v>Ross K</v>
          </cell>
          <cell r="I456" t="str">
            <v>4840190</v>
          </cell>
        </row>
        <row r="457">
          <cell r="A457">
            <v>44640.729166666657</v>
          </cell>
          <cell r="H457" t="str">
            <v>Ross K</v>
          </cell>
          <cell r="I457" t="str">
            <v>4845607</v>
          </cell>
        </row>
        <row r="458">
          <cell r="A458">
            <v>44648.645833333343</v>
          </cell>
          <cell r="H458" t="str">
            <v>Ross K</v>
          </cell>
          <cell r="I458" t="str">
            <v>4862559</v>
          </cell>
        </row>
        <row r="459">
          <cell r="A459">
            <v>44641.645833333343</v>
          </cell>
          <cell r="H459" t="str">
            <v>Ethan U</v>
          </cell>
          <cell r="I459" t="str">
            <v>4832518</v>
          </cell>
        </row>
        <row r="460">
          <cell r="A460">
            <v>44641.645833333343</v>
          </cell>
          <cell r="H460" t="str">
            <v>Ethan U</v>
          </cell>
          <cell r="I460" t="str">
            <v>4880938</v>
          </cell>
        </row>
        <row r="461">
          <cell r="A461">
            <v>44648.645833333343</v>
          </cell>
          <cell r="H461" t="str">
            <v>Ethan U</v>
          </cell>
          <cell r="I461" t="str">
            <v>4841848</v>
          </cell>
        </row>
        <row r="462">
          <cell r="A462">
            <v>44641.645833333343</v>
          </cell>
          <cell r="H462" t="str">
            <v>Joe Nogo</v>
          </cell>
          <cell r="I462" t="str">
            <v>4801461</v>
          </cell>
        </row>
        <row r="463">
          <cell r="A463">
            <v>44641.645833333343</v>
          </cell>
          <cell r="H463" t="str">
            <v>Joe Nogo</v>
          </cell>
          <cell r="I463" t="str">
            <v>4836042</v>
          </cell>
        </row>
        <row r="464">
          <cell r="A464">
            <v>44641.645833333343</v>
          </cell>
          <cell r="H464" t="str">
            <v>Joe Nogo</v>
          </cell>
          <cell r="I464" t="str">
            <v>4798438</v>
          </cell>
        </row>
        <row r="465">
          <cell r="A465">
            <v>44648.6875</v>
          </cell>
          <cell r="H465" t="str">
            <v>Ross K</v>
          </cell>
          <cell r="I465" t="str">
            <v>4836063</v>
          </cell>
        </row>
        <row r="466">
          <cell r="A466">
            <v>44648.6875</v>
          </cell>
          <cell r="H466" t="str">
            <v>Ethan U</v>
          </cell>
          <cell r="I466" t="str">
            <v>4890803</v>
          </cell>
        </row>
        <row r="467">
          <cell r="A467">
            <v>44648.6875</v>
          </cell>
          <cell r="H467" t="str">
            <v>Ethan U</v>
          </cell>
          <cell r="I467" t="str">
            <v>4871116</v>
          </cell>
        </row>
        <row r="468">
          <cell r="A468">
            <v>44648.6875</v>
          </cell>
          <cell r="H468" t="str">
            <v>Nick C</v>
          </cell>
          <cell r="I468" t="str">
            <v>4838150</v>
          </cell>
        </row>
        <row r="469">
          <cell r="A469">
            <v>44641.6875</v>
          </cell>
          <cell r="H469" t="str">
            <v>Ethan U</v>
          </cell>
          <cell r="I469" t="str">
            <v>4861882</v>
          </cell>
        </row>
        <row r="470">
          <cell r="A470">
            <v>44641.6875</v>
          </cell>
          <cell r="H470" t="str">
            <v>Ross K</v>
          </cell>
          <cell r="I470" t="str">
            <v>4883392</v>
          </cell>
        </row>
        <row r="471">
          <cell r="A471">
            <v>44641.6875</v>
          </cell>
          <cell r="H471" t="str">
            <v>Ross K</v>
          </cell>
          <cell r="I471" t="str">
            <v>4883414</v>
          </cell>
        </row>
        <row r="472">
          <cell r="A472">
            <v>44641.6875</v>
          </cell>
          <cell r="H472" t="str">
            <v>Ross K</v>
          </cell>
          <cell r="I472" t="str">
            <v>4883428</v>
          </cell>
        </row>
        <row r="473">
          <cell r="A473">
            <v>44641.6875</v>
          </cell>
          <cell r="H473" t="str">
            <v>Ross K</v>
          </cell>
          <cell r="I473" t="str">
            <v>4886273</v>
          </cell>
        </row>
        <row r="474">
          <cell r="A474">
            <v>44648.6875</v>
          </cell>
          <cell r="H474" t="str">
            <v>Nick C</v>
          </cell>
          <cell r="I474" t="str">
            <v>4808013</v>
          </cell>
        </row>
        <row r="475">
          <cell r="A475">
            <v>44641.6875</v>
          </cell>
          <cell r="H475" t="str">
            <v>Nick C</v>
          </cell>
          <cell r="I475" t="str">
            <v>4866426</v>
          </cell>
        </row>
        <row r="476">
          <cell r="A476">
            <v>44641.6875</v>
          </cell>
          <cell r="H476" t="str">
            <v>Nick C</v>
          </cell>
          <cell r="I476" t="str">
            <v>4834204</v>
          </cell>
        </row>
        <row r="477">
          <cell r="A477">
            <v>44642.645833333343</v>
          </cell>
          <cell r="H477" t="str">
            <v>Joe Nogo</v>
          </cell>
          <cell r="I477" t="str">
            <v>4810744</v>
          </cell>
        </row>
        <row r="478">
          <cell r="A478">
            <v>44642.645833333343</v>
          </cell>
          <cell r="H478" t="str">
            <v>Ross K</v>
          </cell>
          <cell r="I478" t="str">
            <v>4887782</v>
          </cell>
        </row>
        <row r="479">
          <cell r="A479">
            <v>44642.645833333343</v>
          </cell>
          <cell r="H479" t="str">
            <v>Nick C</v>
          </cell>
          <cell r="I479" t="str">
            <v>4880672</v>
          </cell>
        </row>
        <row r="480">
          <cell r="A480">
            <v>44642.645833333343</v>
          </cell>
          <cell r="H480" t="str">
            <v>Nick C</v>
          </cell>
          <cell r="I480" t="str">
            <v>4880859</v>
          </cell>
        </row>
        <row r="481">
          <cell r="A481">
            <v>44642.645833333343</v>
          </cell>
          <cell r="H481" t="str">
            <v>Joe Nogo</v>
          </cell>
          <cell r="I481" t="str">
            <v>4805361</v>
          </cell>
        </row>
        <row r="482">
          <cell r="A482">
            <v>44642.645833333343</v>
          </cell>
          <cell r="H482" t="str">
            <v>Joe Nogo</v>
          </cell>
          <cell r="I482" t="str">
            <v>4801484</v>
          </cell>
        </row>
        <row r="483">
          <cell r="A483">
            <v>44642.645833333343</v>
          </cell>
          <cell r="H483" t="str">
            <v>Joe Nogo</v>
          </cell>
          <cell r="I483" t="str">
            <v>4818217</v>
          </cell>
        </row>
        <row r="484">
          <cell r="A484">
            <v>44642.645833333343</v>
          </cell>
          <cell r="H484" t="str">
            <v>Joe Nogo</v>
          </cell>
          <cell r="I484" t="str">
            <v>4818275</v>
          </cell>
        </row>
        <row r="485">
          <cell r="A485">
            <v>44642.645833333343</v>
          </cell>
          <cell r="H485" t="str">
            <v>Nick C</v>
          </cell>
          <cell r="I485" t="str">
            <v>4878657</v>
          </cell>
        </row>
        <row r="486">
          <cell r="A486">
            <v>44642.645833333343</v>
          </cell>
          <cell r="H486" t="str">
            <v>Joe Nogo</v>
          </cell>
          <cell r="I486" t="str">
            <v>4806609</v>
          </cell>
        </row>
        <row r="487">
          <cell r="A487">
            <v>44642.6875</v>
          </cell>
          <cell r="H487" t="str">
            <v>Ross K</v>
          </cell>
          <cell r="I487" t="str">
            <v>4875591</v>
          </cell>
        </row>
        <row r="488">
          <cell r="A488">
            <v>44642.6875</v>
          </cell>
          <cell r="H488" t="str">
            <v>Ross K</v>
          </cell>
          <cell r="I488" t="str">
            <v>4824097</v>
          </cell>
        </row>
        <row r="489">
          <cell r="A489">
            <v>44642.6875</v>
          </cell>
          <cell r="H489" t="str">
            <v>Nick C</v>
          </cell>
          <cell r="I489" t="str">
            <v>4862563</v>
          </cell>
        </row>
        <row r="490">
          <cell r="A490">
            <v>44643.645833333343</v>
          </cell>
          <cell r="H490" t="str">
            <v>Ethan U</v>
          </cell>
          <cell r="I490" t="str">
            <v>4794449</v>
          </cell>
        </row>
        <row r="491">
          <cell r="A491">
            <v>44650.645833333343</v>
          </cell>
          <cell r="H491" t="str">
            <v>Joe Nogo</v>
          </cell>
          <cell r="I491" t="str">
            <v>4876210</v>
          </cell>
        </row>
        <row r="492">
          <cell r="A492">
            <v>44643.645833333343</v>
          </cell>
          <cell r="H492" t="str">
            <v>Joe Nogo</v>
          </cell>
          <cell r="I492" t="str">
            <v>4849153</v>
          </cell>
        </row>
        <row r="493">
          <cell r="A493">
            <v>44643.6875</v>
          </cell>
          <cell r="H493" t="str">
            <v>Ross K</v>
          </cell>
          <cell r="I493" t="str">
            <v>4840212</v>
          </cell>
        </row>
        <row r="494">
          <cell r="A494">
            <v>44650.6875</v>
          </cell>
          <cell r="H494" t="str">
            <v>Ross K</v>
          </cell>
          <cell r="I494" t="str">
            <v>4836053</v>
          </cell>
        </row>
        <row r="495">
          <cell r="A495">
            <v>44643.6875</v>
          </cell>
          <cell r="H495" t="str">
            <v>Ethan U</v>
          </cell>
          <cell r="I495" t="str">
            <v>4899697</v>
          </cell>
        </row>
        <row r="496">
          <cell r="A496">
            <v>44650.6875</v>
          </cell>
          <cell r="H496" t="str">
            <v>Nick C</v>
          </cell>
          <cell r="I496" t="str">
            <v>4794543</v>
          </cell>
        </row>
        <row r="497">
          <cell r="A497">
            <v>44650.6875</v>
          </cell>
          <cell r="H497" t="str">
            <v>Ethan U</v>
          </cell>
          <cell r="I497" t="str">
            <v>4806540</v>
          </cell>
        </row>
        <row r="498">
          <cell r="A498">
            <v>44650.6875</v>
          </cell>
          <cell r="H498" t="str">
            <v>Ethan U</v>
          </cell>
          <cell r="I498" t="str">
            <v>4880209</v>
          </cell>
        </row>
        <row r="499">
          <cell r="A499">
            <v>44650.6875</v>
          </cell>
          <cell r="H499" t="str">
            <v>Ross K</v>
          </cell>
          <cell r="I499" t="str">
            <v>4829211</v>
          </cell>
        </row>
        <row r="500">
          <cell r="A500">
            <v>44643.6875</v>
          </cell>
          <cell r="H500" t="str">
            <v>Nick C</v>
          </cell>
          <cell r="I500" t="str">
            <v>4842924</v>
          </cell>
        </row>
        <row r="501">
          <cell r="A501">
            <v>44643.6875</v>
          </cell>
          <cell r="H501" t="str">
            <v>Nick C</v>
          </cell>
          <cell r="I501" t="str">
            <v>4856396</v>
          </cell>
        </row>
        <row r="502">
          <cell r="A502">
            <v>44643.6875</v>
          </cell>
          <cell r="H502" t="str">
            <v>Ethan U</v>
          </cell>
          <cell r="I502" t="str">
            <v>4445845</v>
          </cell>
        </row>
        <row r="503">
          <cell r="A503">
            <v>44646.6875</v>
          </cell>
          <cell r="H503" t="str">
            <v>Ethan U</v>
          </cell>
          <cell r="I503" t="str">
            <v>4793610</v>
          </cell>
        </row>
        <row r="504">
          <cell r="A504">
            <v>44646.6875</v>
          </cell>
          <cell r="H504" t="str">
            <v>Ethan U</v>
          </cell>
          <cell r="I504" t="str">
            <v>4794350</v>
          </cell>
        </row>
        <row r="505">
          <cell r="A505">
            <v>44646.6875</v>
          </cell>
          <cell r="H505" t="str">
            <v>Ethan U</v>
          </cell>
          <cell r="I505" t="str">
            <v>4794416</v>
          </cell>
        </row>
        <row r="506">
          <cell r="A506">
            <v>44646.6875</v>
          </cell>
          <cell r="H506" t="str">
            <v>Ethan U</v>
          </cell>
          <cell r="I506" t="str">
            <v>4794005</v>
          </cell>
        </row>
        <row r="507">
          <cell r="A507">
            <v>44646.6875</v>
          </cell>
          <cell r="H507" t="str">
            <v>Ethan U</v>
          </cell>
          <cell r="I507" t="str">
            <v>4899851</v>
          </cell>
        </row>
        <row r="508">
          <cell r="A508">
            <v>44646.6875</v>
          </cell>
          <cell r="H508" t="str">
            <v>Joe Nogo</v>
          </cell>
          <cell r="I508" t="str">
            <v>4832194</v>
          </cell>
        </row>
        <row r="509">
          <cell r="A509">
            <v>44646.6875</v>
          </cell>
          <cell r="H509" t="str">
            <v>Joe Nogo</v>
          </cell>
          <cell r="I509" t="str">
            <v>4899380</v>
          </cell>
        </row>
        <row r="510">
          <cell r="A510">
            <v>44646.729166666657</v>
          </cell>
          <cell r="H510" t="str">
            <v>Nick C</v>
          </cell>
          <cell r="I510" t="str">
            <v>4879388</v>
          </cell>
        </row>
        <row r="511">
          <cell r="A511">
            <v>44646.729166666657</v>
          </cell>
          <cell r="H511" t="str">
            <v>Ross K</v>
          </cell>
          <cell r="I511" t="str">
            <v>4809014</v>
          </cell>
        </row>
        <row r="512">
          <cell r="A512">
            <v>44646.729166666657</v>
          </cell>
          <cell r="H512" t="str">
            <v>Ethan U</v>
          </cell>
          <cell r="I512" t="str">
            <v>4818183</v>
          </cell>
        </row>
        <row r="513">
          <cell r="A513">
            <v>44646.729166666657</v>
          </cell>
          <cell r="H513" t="str">
            <v>Nick C</v>
          </cell>
          <cell r="I513" t="str">
            <v>4800626</v>
          </cell>
        </row>
        <row r="514">
          <cell r="A514">
            <v>44646.729166666657</v>
          </cell>
          <cell r="H514" t="str">
            <v>Nick C</v>
          </cell>
          <cell r="I514" t="str">
            <v>4805818</v>
          </cell>
        </row>
        <row r="515">
          <cell r="A515">
            <v>44646.729166666657</v>
          </cell>
          <cell r="H515" t="str">
            <v>Ethan U</v>
          </cell>
          <cell r="I515" t="str">
            <v>4880531</v>
          </cell>
        </row>
        <row r="516">
          <cell r="A516">
            <v>44647.6875</v>
          </cell>
          <cell r="H516" t="str">
            <v>Ethan U</v>
          </cell>
          <cell r="I516" t="str">
            <v>4794609</v>
          </cell>
        </row>
        <row r="517">
          <cell r="A517">
            <v>44647.6875</v>
          </cell>
          <cell r="H517" t="str">
            <v>Ethan U</v>
          </cell>
          <cell r="I517" t="str">
            <v>4794567</v>
          </cell>
        </row>
        <row r="518">
          <cell r="A518">
            <v>44647.6875</v>
          </cell>
          <cell r="H518" t="str">
            <v>Ethan U</v>
          </cell>
          <cell r="I518" t="str">
            <v>4795465</v>
          </cell>
        </row>
        <row r="519">
          <cell r="A519">
            <v>44647.6875</v>
          </cell>
          <cell r="H519" t="str">
            <v>Ethan U</v>
          </cell>
          <cell r="I519" t="str">
            <v>4794655</v>
          </cell>
        </row>
        <row r="520">
          <cell r="A520">
            <v>44647.6875</v>
          </cell>
          <cell r="H520" t="str">
            <v>Ethan U</v>
          </cell>
          <cell r="I520" t="str">
            <v>4794609</v>
          </cell>
        </row>
        <row r="521">
          <cell r="A521">
            <v>44647.6875</v>
          </cell>
          <cell r="H521" t="str">
            <v>Nick C</v>
          </cell>
          <cell r="I521" t="str">
            <v>4883023</v>
          </cell>
        </row>
        <row r="522">
          <cell r="A522">
            <v>44647.6875</v>
          </cell>
          <cell r="H522" t="str">
            <v>Ethan U</v>
          </cell>
          <cell r="I522" t="str">
            <v>4800518</v>
          </cell>
        </row>
        <row r="523">
          <cell r="A523">
            <v>44647.6875</v>
          </cell>
          <cell r="H523" t="str">
            <v>Ethan U</v>
          </cell>
          <cell r="I523" t="str">
            <v>4795312</v>
          </cell>
        </row>
        <row r="524">
          <cell r="A524">
            <v>44647.6875</v>
          </cell>
          <cell r="H524" t="str">
            <v>Ethan U</v>
          </cell>
          <cell r="I524" t="str">
            <v>4794655</v>
          </cell>
        </row>
        <row r="525">
          <cell r="A525">
            <v>44647.6875</v>
          </cell>
          <cell r="H525" t="str">
            <v>Ethan U</v>
          </cell>
          <cell r="I525" t="str">
            <v>4796472</v>
          </cell>
        </row>
        <row r="526">
          <cell r="A526">
            <v>44647.6875</v>
          </cell>
          <cell r="H526" t="str">
            <v>Ethan U</v>
          </cell>
          <cell r="I526" t="str">
            <v>4796472</v>
          </cell>
        </row>
        <row r="527">
          <cell r="A527">
            <v>44647.6875</v>
          </cell>
          <cell r="H527" t="str">
            <v>Ethan U</v>
          </cell>
          <cell r="I527" t="str">
            <v>4795222</v>
          </cell>
        </row>
        <row r="528">
          <cell r="A528">
            <v>44647.6875</v>
          </cell>
          <cell r="H528" t="str">
            <v>Ethan U</v>
          </cell>
          <cell r="I528" t="str">
            <v>4796052</v>
          </cell>
        </row>
        <row r="529">
          <cell r="A529">
            <v>44647.6875</v>
          </cell>
          <cell r="H529" t="str">
            <v>Ethan U</v>
          </cell>
          <cell r="I529" t="str">
            <v>4795589</v>
          </cell>
        </row>
        <row r="530">
          <cell r="A530">
            <v>44647.6875</v>
          </cell>
          <cell r="H530" t="str">
            <v>Ethan U</v>
          </cell>
          <cell r="I530" t="str">
            <v>4796017</v>
          </cell>
        </row>
        <row r="531">
          <cell r="A531">
            <v>44647.6875</v>
          </cell>
          <cell r="H531" t="str">
            <v>Ethan U</v>
          </cell>
          <cell r="I531" t="str">
            <v>4795312</v>
          </cell>
        </row>
        <row r="532">
          <cell r="A532">
            <v>44647.6875</v>
          </cell>
          <cell r="H532" t="str">
            <v>Ethan U</v>
          </cell>
          <cell r="I532" t="str">
            <v>4800394</v>
          </cell>
        </row>
        <row r="533">
          <cell r="A533">
            <v>44647.6875</v>
          </cell>
          <cell r="H533" t="str">
            <v>Ethan U</v>
          </cell>
          <cell r="I533" t="str">
            <v>4796017</v>
          </cell>
        </row>
        <row r="534">
          <cell r="A534">
            <v>44647.6875</v>
          </cell>
          <cell r="H534" t="str">
            <v>Ethan U</v>
          </cell>
          <cell r="I534" t="str">
            <v>4794567</v>
          </cell>
        </row>
        <row r="535">
          <cell r="A535">
            <v>44647.6875</v>
          </cell>
          <cell r="H535" t="str">
            <v>Ethan U</v>
          </cell>
          <cell r="I535" t="str">
            <v>4800430</v>
          </cell>
        </row>
        <row r="536">
          <cell r="A536">
            <v>44647.6875</v>
          </cell>
          <cell r="H536" t="str">
            <v>Ethan U</v>
          </cell>
          <cell r="I536" t="str">
            <v>4795405</v>
          </cell>
        </row>
        <row r="537">
          <cell r="A537">
            <v>44647.6875</v>
          </cell>
          <cell r="H537" t="str">
            <v>Ethan U</v>
          </cell>
          <cell r="I537" t="str">
            <v>4800327</v>
          </cell>
        </row>
        <row r="538">
          <cell r="A538">
            <v>44647.6875</v>
          </cell>
          <cell r="H538" t="str">
            <v>Nick C</v>
          </cell>
          <cell r="I538" t="str">
            <v>4895777</v>
          </cell>
        </row>
        <row r="539">
          <cell r="A539">
            <v>44647.6875</v>
          </cell>
          <cell r="H539" t="str">
            <v>Joe Nogo</v>
          </cell>
          <cell r="I539" t="str">
            <v>4820484</v>
          </cell>
        </row>
        <row r="540">
          <cell r="A540">
            <v>44647.6875</v>
          </cell>
          <cell r="H540" t="str">
            <v>Nick C</v>
          </cell>
          <cell r="I540" t="str">
            <v>4882653</v>
          </cell>
        </row>
        <row r="541">
          <cell r="A541">
            <v>44647.6875</v>
          </cell>
          <cell r="H541" t="str">
            <v>Nick C</v>
          </cell>
          <cell r="I541" t="str">
            <v>4896802</v>
          </cell>
        </row>
        <row r="542">
          <cell r="A542">
            <v>44647.6875</v>
          </cell>
          <cell r="H542" t="str">
            <v>Joe Nogo</v>
          </cell>
          <cell r="I542" t="str">
            <v>4802800</v>
          </cell>
        </row>
        <row r="543">
          <cell r="A543">
            <v>44647.6875</v>
          </cell>
          <cell r="H543" t="str">
            <v>Ethan U</v>
          </cell>
          <cell r="I543" t="str">
            <v>4806872</v>
          </cell>
        </row>
        <row r="544">
          <cell r="A544">
            <v>44647.6875</v>
          </cell>
          <cell r="H544" t="str">
            <v>Ethan U</v>
          </cell>
          <cell r="I544" t="str">
            <v>4806724</v>
          </cell>
        </row>
        <row r="545">
          <cell r="A545">
            <v>44647.6875</v>
          </cell>
          <cell r="H545" t="str">
            <v>Ethan U</v>
          </cell>
          <cell r="I545" t="str">
            <v>4806560</v>
          </cell>
        </row>
        <row r="546">
          <cell r="A546">
            <v>44647.6875</v>
          </cell>
          <cell r="H546" t="str">
            <v>Ethan U</v>
          </cell>
          <cell r="I546" t="str">
            <v>4806534</v>
          </cell>
        </row>
        <row r="547">
          <cell r="A547">
            <v>44647.6875</v>
          </cell>
          <cell r="H547" t="str">
            <v>Ethan U</v>
          </cell>
          <cell r="I547" t="str">
            <v>4805676</v>
          </cell>
        </row>
        <row r="548">
          <cell r="A548">
            <v>44647.6875</v>
          </cell>
          <cell r="H548" t="str">
            <v>Ethan U</v>
          </cell>
          <cell r="I548" t="str">
            <v>4805655</v>
          </cell>
        </row>
        <row r="549">
          <cell r="A549">
            <v>44647.6875</v>
          </cell>
          <cell r="H549" t="str">
            <v>Ethan U</v>
          </cell>
          <cell r="I549" t="str">
            <v>4804159</v>
          </cell>
        </row>
        <row r="550">
          <cell r="A550">
            <v>44647.6875</v>
          </cell>
          <cell r="H550" t="str">
            <v>Ethan U</v>
          </cell>
          <cell r="I550" t="str">
            <v>4803138</v>
          </cell>
        </row>
        <row r="551">
          <cell r="A551">
            <v>44647.6875</v>
          </cell>
          <cell r="H551" t="str">
            <v>Ethan U</v>
          </cell>
          <cell r="I551" t="str">
            <v>4803037</v>
          </cell>
        </row>
        <row r="552">
          <cell r="A552">
            <v>44647.6875</v>
          </cell>
          <cell r="H552" t="str">
            <v>Ethan U</v>
          </cell>
          <cell r="I552" t="str">
            <v>4795549</v>
          </cell>
        </row>
        <row r="553">
          <cell r="A553">
            <v>44647.6875</v>
          </cell>
          <cell r="H553" t="str">
            <v>Ethan U</v>
          </cell>
          <cell r="I553" t="str">
            <v>4800394</v>
          </cell>
        </row>
        <row r="554">
          <cell r="A554">
            <v>44647.6875</v>
          </cell>
          <cell r="H554" t="str">
            <v>Ethan U</v>
          </cell>
          <cell r="I554" t="str">
            <v>4800327</v>
          </cell>
        </row>
        <row r="555">
          <cell r="A555">
            <v>44647.6875</v>
          </cell>
          <cell r="H555" t="str">
            <v>Ethan U</v>
          </cell>
          <cell r="I555" t="str">
            <v>4800518</v>
          </cell>
        </row>
        <row r="556">
          <cell r="A556">
            <v>44647.6875</v>
          </cell>
          <cell r="H556" t="str">
            <v>Ethan U</v>
          </cell>
          <cell r="I556" t="str">
            <v>4800430</v>
          </cell>
        </row>
        <row r="557">
          <cell r="A557">
            <v>44647.6875</v>
          </cell>
          <cell r="H557" t="str">
            <v>Ethan U</v>
          </cell>
          <cell r="I557" t="str">
            <v>4795222</v>
          </cell>
        </row>
        <row r="558">
          <cell r="A558">
            <v>44647.6875</v>
          </cell>
          <cell r="H558" t="str">
            <v>Ethan U</v>
          </cell>
          <cell r="I558" t="str">
            <v>4805395</v>
          </cell>
        </row>
        <row r="559">
          <cell r="A559">
            <v>44647.6875</v>
          </cell>
          <cell r="H559" t="str">
            <v>Ethan U</v>
          </cell>
          <cell r="I559" t="str">
            <v>4805411</v>
          </cell>
        </row>
        <row r="560">
          <cell r="A560">
            <v>44647.6875</v>
          </cell>
          <cell r="H560" t="str">
            <v>Ethan U</v>
          </cell>
          <cell r="I560" t="str">
            <v>4803182</v>
          </cell>
        </row>
        <row r="561">
          <cell r="A561">
            <v>44647.6875</v>
          </cell>
          <cell r="H561" t="str">
            <v>Nick C</v>
          </cell>
          <cell r="I561" t="str">
            <v>4883033</v>
          </cell>
        </row>
        <row r="562">
          <cell r="A562">
            <v>44647.6875</v>
          </cell>
          <cell r="H562" t="str">
            <v>Ethan U</v>
          </cell>
          <cell r="I562" t="str">
            <v>4795405</v>
          </cell>
        </row>
        <row r="563">
          <cell r="A563">
            <v>44647.6875</v>
          </cell>
          <cell r="H563" t="str">
            <v>Ethan U</v>
          </cell>
          <cell r="I563" t="str">
            <v>4795549</v>
          </cell>
        </row>
        <row r="564">
          <cell r="A564">
            <v>44647.6875</v>
          </cell>
          <cell r="H564" t="str">
            <v>Ethan U</v>
          </cell>
          <cell r="I564" t="str">
            <v>4796052</v>
          </cell>
        </row>
        <row r="565">
          <cell r="A565">
            <v>44647.6875</v>
          </cell>
          <cell r="H565" t="str">
            <v>Ethan U</v>
          </cell>
          <cell r="I565" t="str">
            <v>4795589</v>
          </cell>
        </row>
        <row r="566">
          <cell r="A566">
            <v>44647.6875</v>
          </cell>
          <cell r="H566" t="str">
            <v>Ethan U</v>
          </cell>
          <cell r="I566" t="str">
            <v>4805627</v>
          </cell>
        </row>
        <row r="567">
          <cell r="A567">
            <v>44647.6875</v>
          </cell>
          <cell r="H567" t="str">
            <v>Ethan U</v>
          </cell>
          <cell r="I567" t="str">
            <v>4804202</v>
          </cell>
        </row>
        <row r="568">
          <cell r="A568">
            <v>44647.6875</v>
          </cell>
          <cell r="H568" t="str">
            <v>Ethan U</v>
          </cell>
          <cell r="I568" t="str">
            <v>4803076</v>
          </cell>
        </row>
        <row r="569">
          <cell r="A569">
            <v>44647.729166666657</v>
          </cell>
          <cell r="H569" t="str">
            <v>Nick C</v>
          </cell>
          <cell r="I569" t="str">
            <v>4862858</v>
          </cell>
        </row>
        <row r="570">
          <cell r="A570">
            <v>44647.729166666657</v>
          </cell>
          <cell r="H570" t="str">
            <v>Nick C</v>
          </cell>
          <cell r="I570" t="str">
            <v>4887625</v>
          </cell>
        </row>
        <row r="571">
          <cell r="A571">
            <v>44647.729166666657</v>
          </cell>
          <cell r="H571" t="str">
            <v>Nick C</v>
          </cell>
          <cell r="I571" t="str">
            <v>4834892</v>
          </cell>
        </row>
        <row r="572">
          <cell r="A572">
            <v>44647.729166666657</v>
          </cell>
          <cell r="H572" t="str">
            <v>Nick C</v>
          </cell>
          <cell r="I572" t="str">
            <v>4880562</v>
          </cell>
        </row>
        <row r="573">
          <cell r="A573">
            <v>44648.6875</v>
          </cell>
          <cell r="H573" t="str">
            <v>Nick C</v>
          </cell>
          <cell r="I573" t="str">
            <v>4882644</v>
          </cell>
        </row>
        <row r="574">
          <cell r="A574">
            <v>44648.6875</v>
          </cell>
          <cell r="H574" t="str">
            <v>Ethan U</v>
          </cell>
          <cell r="I574" t="str">
            <v>4896998</v>
          </cell>
        </row>
        <row r="575">
          <cell r="A575">
            <v>44648.6875</v>
          </cell>
          <cell r="H575" t="str">
            <v>Ethan U</v>
          </cell>
          <cell r="I575" t="str">
            <v>4873762</v>
          </cell>
        </row>
        <row r="576">
          <cell r="A576">
            <v>44648.6875</v>
          </cell>
          <cell r="H576" t="str">
            <v>Ethan U</v>
          </cell>
          <cell r="I576" t="str">
            <v>4873546</v>
          </cell>
        </row>
        <row r="577">
          <cell r="A577">
            <v>44648.6875</v>
          </cell>
          <cell r="H577" t="str">
            <v>Ethan U</v>
          </cell>
          <cell r="I577" t="str">
            <v>4857473</v>
          </cell>
        </row>
        <row r="578">
          <cell r="A578">
            <v>44648.6875</v>
          </cell>
          <cell r="H578" t="str">
            <v>Ethan U</v>
          </cell>
          <cell r="I578" t="str">
            <v>4832763</v>
          </cell>
        </row>
        <row r="579">
          <cell r="A579">
            <v>44648.6875</v>
          </cell>
          <cell r="H579" t="str">
            <v>Ethan U</v>
          </cell>
          <cell r="I579" t="str">
            <v>4819328</v>
          </cell>
        </row>
        <row r="580">
          <cell r="A580">
            <v>44648.6875</v>
          </cell>
          <cell r="H580" t="str">
            <v>Ethan U</v>
          </cell>
          <cell r="I580" t="str">
            <v>4819290</v>
          </cell>
        </row>
        <row r="581">
          <cell r="A581">
            <v>44648.6875</v>
          </cell>
          <cell r="H581" t="str">
            <v>Ethan U</v>
          </cell>
          <cell r="I581" t="str">
            <v>4819204</v>
          </cell>
        </row>
        <row r="582">
          <cell r="A582">
            <v>44648.6875</v>
          </cell>
          <cell r="H582" t="str">
            <v>Ethan U</v>
          </cell>
          <cell r="I582" t="str">
            <v>4832345</v>
          </cell>
        </row>
        <row r="583">
          <cell r="A583">
            <v>44648.6875</v>
          </cell>
          <cell r="H583" t="str">
            <v>Ethan U</v>
          </cell>
          <cell r="I583" t="str">
            <v>4819156</v>
          </cell>
        </row>
        <row r="584">
          <cell r="A584">
            <v>44648.6875</v>
          </cell>
          <cell r="H584" t="str">
            <v>Ethan U</v>
          </cell>
          <cell r="I584" t="str">
            <v>4809660</v>
          </cell>
        </row>
        <row r="585">
          <cell r="A585">
            <v>44648.6875</v>
          </cell>
          <cell r="H585" t="str">
            <v>Ethan U</v>
          </cell>
          <cell r="I585" t="str">
            <v>4819488</v>
          </cell>
        </row>
        <row r="586">
          <cell r="A586">
            <v>44648.6875</v>
          </cell>
          <cell r="H586" t="str">
            <v>Ethan U</v>
          </cell>
          <cell r="I586" t="str">
            <v>4820838</v>
          </cell>
        </row>
        <row r="587">
          <cell r="A587">
            <v>44648.6875</v>
          </cell>
          <cell r="H587" t="str">
            <v>Ethan U</v>
          </cell>
          <cell r="I587" t="str">
            <v>4807696</v>
          </cell>
        </row>
        <row r="588">
          <cell r="A588">
            <v>44648.6875</v>
          </cell>
          <cell r="H588" t="str">
            <v>Nick C</v>
          </cell>
          <cell r="I588" t="str">
            <v>4874965</v>
          </cell>
        </row>
        <row r="589">
          <cell r="A589">
            <v>44648.6875</v>
          </cell>
          <cell r="H589" t="str">
            <v>Ethan U</v>
          </cell>
          <cell r="I589" t="str">
            <v>4809430</v>
          </cell>
        </row>
        <row r="590">
          <cell r="A590">
            <v>44648.6875</v>
          </cell>
          <cell r="H590" t="str">
            <v>Ethan U</v>
          </cell>
          <cell r="I590" t="str">
            <v>4807223</v>
          </cell>
        </row>
        <row r="591">
          <cell r="A591">
            <v>44648.6875</v>
          </cell>
          <cell r="H591" t="str">
            <v>Ethan U</v>
          </cell>
          <cell r="I591" t="str">
            <v>4807783</v>
          </cell>
        </row>
        <row r="592">
          <cell r="A592">
            <v>44648.6875</v>
          </cell>
          <cell r="H592" t="str">
            <v>Ethan U</v>
          </cell>
          <cell r="I592" t="str">
            <v>4807176</v>
          </cell>
        </row>
        <row r="593">
          <cell r="A593">
            <v>44648.6875</v>
          </cell>
          <cell r="H593" t="str">
            <v>Ethan U</v>
          </cell>
          <cell r="I593" t="str">
            <v>4807274</v>
          </cell>
        </row>
        <row r="594">
          <cell r="A594">
            <v>44648.729166666657</v>
          </cell>
          <cell r="H594" t="str">
            <v>Ross K</v>
          </cell>
          <cell r="I594" t="str">
            <v>4814077</v>
          </cell>
        </row>
        <row r="595">
          <cell r="A595">
            <v>44648.729166666657</v>
          </cell>
          <cell r="H595" t="str">
            <v>Nick C</v>
          </cell>
          <cell r="I595" t="str">
            <v>4890379</v>
          </cell>
        </row>
        <row r="596">
          <cell r="A596">
            <v>44648.729166666657</v>
          </cell>
          <cell r="H596" t="str">
            <v>Nick C</v>
          </cell>
          <cell r="I596" t="str">
            <v>4883446</v>
          </cell>
        </row>
        <row r="597">
          <cell r="A597">
            <v>44648.729166666657</v>
          </cell>
          <cell r="H597" t="str">
            <v>Nick C</v>
          </cell>
          <cell r="I597" t="str">
            <v>4811207</v>
          </cell>
        </row>
        <row r="598">
          <cell r="A598">
            <v>44648.729166666657</v>
          </cell>
          <cell r="H598" t="str">
            <v>Nick C</v>
          </cell>
          <cell r="I598" t="str">
            <v>4911910</v>
          </cell>
        </row>
        <row r="599">
          <cell r="A599">
            <v>44648.729166666657</v>
          </cell>
          <cell r="H599" t="str">
            <v>Nick C</v>
          </cell>
          <cell r="I599" t="str">
            <v>4845114</v>
          </cell>
        </row>
        <row r="600">
          <cell r="A600">
            <v>44648.729166666657</v>
          </cell>
          <cell r="H600" t="str">
            <v>Nick C</v>
          </cell>
          <cell r="I600" t="str">
            <v>4863114</v>
          </cell>
        </row>
        <row r="601">
          <cell r="A601">
            <v>44649.729166666657</v>
          </cell>
          <cell r="H601" t="str">
            <v>Nick C</v>
          </cell>
          <cell r="I601" t="str">
            <v>4918893</v>
          </cell>
        </row>
        <row r="602">
          <cell r="A602">
            <v>44649.729166666657</v>
          </cell>
          <cell r="H602" t="str">
            <v>Nick C</v>
          </cell>
          <cell r="I602" t="str">
            <v>4916888</v>
          </cell>
        </row>
        <row r="603">
          <cell r="A603">
            <v>44649.729166666657</v>
          </cell>
          <cell r="H603" t="str">
            <v>Nick C</v>
          </cell>
          <cell r="I603" t="str">
            <v>4793783</v>
          </cell>
        </row>
        <row r="604">
          <cell r="A604">
            <v>44649.729166666657</v>
          </cell>
          <cell r="H604" t="str">
            <v>Nick C</v>
          </cell>
          <cell r="I604" t="str">
            <v>4794026</v>
          </cell>
        </row>
        <row r="605">
          <cell r="A605">
            <v>44649.729166666657</v>
          </cell>
          <cell r="H605" t="str">
            <v>Nick C</v>
          </cell>
          <cell r="I605" t="str">
            <v>4794059</v>
          </cell>
        </row>
        <row r="606">
          <cell r="A606">
            <v>44649.729166666657</v>
          </cell>
          <cell r="H606" t="str">
            <v>Nick C</v>
          </cell>
          <cell r="I606" t="str">
            <v>4911360</v>
          </cell>
        </row>
        <row r="607">
          <cell r="A607">
            <v>44649.729166666657</v>
          </cell>
          <cell r="H607" t="str">
            <v>Nick C</v>
          </cell>
          <cell r="I607" t="str">
            <v>4874058</v>
          </cell>
        </row>
        <row r="608">
          <cell r="A608">
            <v>44649.729166666657</v>
          </cell>
          <cell r="H608" t="str">
            <v>Nick C</v>
          </cell>
          <cell r="I608" t="str">
            <v>4641168</v>
          </cell>
        </row>
        <row r="609">
          <cell r="A609">
            <v>44649.729166666657</v>
          </cell>
          <cell r="H609" t="str">
            <v>Nick C</v>
          </cell>
          <cell r="I609" t="str">
            <v>4788528</v>
          </cell>
        </row>
        <row r="610">
          <cell r="A610">
            <v>44650.6875</v>
          </cell>
          <cell r="H610" t="str">
            <v>Ross K</v>
          </cell>
          <cell r="I610" t="str">
            <v>4887782</v>
          </cell>
        </row>
        <row r="611">
          <cell r="A611">
            <v>44650.6875</v>
          </cell>
          <cell r="H611" t="str">
            <v>Ethan U</v>
          </cell>
          <cell r="I611" t="str">
            <v>4831651</v>
          </cell>
        </row>
        <row r="612">
          <cell r="A612">
            <v>44650.6875</v>
          </cell>
          <cell r="H612" t="str">
            <v>Ethan U</v>
          </cell>
          <cell r="I612" t="str">
            <v>4831609</v>
          </cell>
        </row>
        <row r="613">
          <cell r="A613">
            <v>44650.6875</v>
          </cell>
          <cell r="H613" t="str">
            <v>Ethan U</v>
          </cell>
          <cell r="I613" t="str">
            <v>4830725</v>
          </cell>
        </row>
        <row r="614">
          <cell r="A614">
            <v>44650.6875</v>
          </cell>
          <cell r="H614" t="str">
            <v>Ethan U</v>
          </cell>
          <cell r="I614" t="str">
            <v>4822246</v>
          </cell>
        </row>
        <row r="615">
          <cell r="A615">
            <v>44650.6875</v>
          </cell>
          <cell r="H615" t="str">
            <v>Ethan U</v>
          </cell>
          <cell r="I615" t="str">
            <v>4821761</v>
          </cell>
        </row>
        <row r="616">
          <cell r="A616">
            <v>44650.6875</v>
          </cell>
          <cell r="H616" t="str">
            <v>Ethan U</v>
          </cell>
          <cell r="I616" t="str">
            <v>4800810</v>
          </cell>
        </row>
        <row r="617">
          <cell r="A617">
            <v>44650.6875</v>
          </cell>
          <cell r="H617" t="str">
            <v>Ethan U</v>
          </cell>
          <cell r="I617" t="str">
            <v>4824076</v>
          </cell>
        </row>
        <row r="618">
          <cell r="A618">
            <v>44650.6875</v>
          </cell>
          <cell r="H618" t="str">
            <v>Ethan U</v>
          </cell>
          <cell r="I618" t="str">
            <v>4800778</v>
          </cell>
        </row>
        <row r="619">
          <cell r="A619">
            <v>44650.6875</v>
          </cell>
          <cell r="H619" t="str">
            <v>Ethan U</v>
          </cell>
          <cell r="I619" t="str">
            <v>4873606</v>
          </cell>
        </row>
        <row r="620">
          <cell r="A620">
            <v>44650.6875</v>
          </cell>
          <cell r="H620" t="str">
            <v>Ethan U</v>
          </cell>
          <cell r="I620" t="str">
            <v>4800607</v>
          </cell>
        </row>
        <row r="621">
          <cell r="A621">
            <v>44650.6875</v>
          </cell>
          <cell r="H621" t="str">
            <v>Ethan U</v>
          </cell>
          <cell r="I621" t="str">
            <v>4802052</v>
          </cell>
        </row>
        <row r="622">
          <cell r="A622">
            <v>44650.6875</v>
          </cell>
          <cell r="H622" t="str">
            <v>Ethan U</v>
          </cell>
          <cell r="I622" t="str">
            <v>4800793</v>
          </cell>
        </row>
        <row r="623">
          <cell r="A623">
            <v>44650.6875</v>
          </cell>
          <cell r="H623" t="str">
            <v>Ethan U</v>
          </cell>
          <cell r="I623" t="str">
            <v>4800766</v>
          </cell>
        </row>
        <row r="624">
          <cell r="A624">
            <v>44650.6875</v>
          </cell>
          <cell r="H624" t="str">
            <v>Ross K</v>
          </cell>
          <cell r="I624" t="str">
            <v>4862471</v>
          </cell>
        </row>
        <row r="625">
          <cell r="A625">
            <v>44650.6875</v>
          </cell>
          <cell r="H625" t="str">
            <v>Ethan U</v>
          </cell>
          <cell r="I625" t="str">
            <v>4831032</v>
          </cell>
        </row>
        <row r="626">
          <cell r="A626">
            <v>44650.6875</v>
          </cell>
          <cell r="H626" t="str">
            <v>Ethan U</v>
          </cell>
          <cell r="I626" t="str">
            <v>4830865</v>
          </cell>
        </row>
        <row r="627">
          <cell r="A627">
            <v>44650.6875</v>
          </cell>
          <cell r="H627" t="str">
            <v>Ethan U</v>
          </cell>
          <cell r="I627" t="str">
            <v>4802997</v>
          </cell>
        </row>
        <row r="628">
          <cell r="A628">
            <v>44650.6875</v>
          </cell>
          <cell r="H628" t="str">
            <v>Ethan U</v>
          </cell>
          <cell r="I628" t="str">
            <v>4802148</v>
          </cell>
        </row>
        <row r="629">
          <cell r="A629">
            <v>44650.729166666657</v>
          </cell>
          <cell r="H629" t="str">
            <v>Nick C</v>
          </cell>
          <cell r="I629" t="str">
            <v>4886800</v>
          </cell>
        </row>
        <row r="630">
          <cell r="A630">
            <v>44650.729166666657</v>
          </cell>
          <cell r="H630" t="str">
            <v>Nick C</v>
          </cell>
          <cell r="I630" t="str">
            <v>4875959</v>
          </cell>
        </row>
      </sheetData>
    </sheetDataSet>
  </externalBook>
</externalLink>
</file>

<file path=xl/persons/person.xml><?xml version="1.0" encoding="utf-8"?>
<personList xmlns="http://schemas.microsoft.com/office/spreadsheetml/2018/threadedcomments" xmlns:x="http://schemas.openxmlformats.org/spreadsheetml/2006/main">
  <person displayName="Joe Nogosek" id="{541C2F08-C68A-4258-B9A2-61EC125271A6}" userId="S::joe.nogosek@ulteig.com::00061001-bfa5-4236-82d1-3dac426b643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5" dT="2022-03-17T18:30:59.04" personId="{541C2F08-C68A-4258-B9A2-61EC125271A6}" id="{CB524150-A274-4E73-8092-5E87FEEC7621}">
    <text>If the application has a Tesla powerwall and the "Storage Charge Source" doesn't state it is is charged from both "Utility and Solar."</text>
  </threadedComment>
  <threadedComment ref="D39" dT="2022-03-17T18:31:16.31" personId="{541C2F08-C68A-4258-B9A2-61EC125271A6}" id="{328561A3-1E80-4CBD-8C17-0A271D0CD6BE}">
    <text>If a production meter is missing on a Solar*Rewards application or a production meter is present on a non-incentive DG application. Incorrect ownership is CA.</text>
  </threadedComment>
  <threadedComment ref="D49" dT="2022-03-17T18:31:31.59" personId="{541C2F08-C68A-4258-B9A2-61EC125271A6}" id="{0488F1EA-0D5A-44AB-924C-3BB82B6402B8}">
    <text>Only if a "Utility AC Disconnect" is not present or if there is incorrect or no wording about the disconnect.</text>
  </threadedComment>
  <threadedComment ref="D81" dT="2022-03-17T18:31:41.46" personId="{541C2F08-C68A-4258-B9A2-61EC125271A6}" id="{EB81443A-6B24-4369-90E0-140032AD07BC}">
    <text>If the main service meter, utility AC disconnect, or production meter (if applicable) are inside and no main service entrance is shown.</text>
  </threadedComment>
  <threadedComment ref="D131" dT="2022-03-17T18:31:55.03" personId="{541C2F08-C68A-4258-B9A2-61EC125271A6}" id="{B27CFE33-7789-4FB8-81AA-323D8C263F55}">
    <text>If lugs are stated to be splicing or splicing lugs are shown.</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77"/>
  <sheetViews>
    <sheetView tabSelected="1" zoomScaleNormal="100" workbookViewId="0">
      <selection activeCell="I2" sqref="I2"/>
    </sheetView>
  </sheetViews>
  <sheetFormatPr defaultColWidth="9.140625" defaultRowHeight="15" x14ac:dyDescent="0.25"/>
  <cols>
    <col min="1" max="1" width="14.28515625" style="47" customWidth="1"/>
    <col min="2" max="2" width="15.85546875" style="45" customWidth="1"/>
    <col min="3" max="3" width="62.85546875" style="46" customWidth="1"/>
    <col min="4" max="4" width="58.140625" style="46" customWidth="1"/>
    <col min="5" max="5" width="6.85546875" style="46" customWidth="1"/>
    <col min="6" max="6" width="6.5703125" style="46" customWidth="1"/>
    <col min="7" max="7" width="6.85546875" style="46" customWidth="1"/>
    <col min="8" max="8" width="49.140625" style="45" customWidth="1"/>
    <col min="9" max="9" width="17.85546875" style="47" customWidth="1"/>
    <col min="10" max="10" width="12.42578125" style="46" customWidth="1"/>
    <col min="11" max="11" width="120.140625" style="47" customWidth="1"/>
  </cols>
  <sheetData>
    <row r="1" spans="1:11" ht="30" customHeight="1" x14ac:dyDescent="0.25">
      <c r="A1" s="78" t="s">
        <v>0</v>
      </c>
      <c r="B1" s="77"/>
      <c r="C1" s="38" t="s">
        <v>370</v>
      </c>
      <c r="D1" s="3" t="s">
        <v>1</v>
      </c>
      <c r="E1" s="46" t="s">
        <v>366</v>
      </c>
      <c r="H1" s="27" t="s">
        <v>2</v>
      </c>
      <c r="I1" s="54" t="s">
        <v>371</v>
      </c>
      <c r="J1" s="60" t="str">
        <f>IF(C2="Joe Nogo","JN",IF(C2="Nick C","NC",IF(C2="Jose CN","JCN",IF(C2="Ross K","RK",IF(OR(C2="Josh G",C2="Josh Guck"),"JG",IF(C2="Ethan U","EU",""))))))</f>
        <v>EU</v>
      </c>
      <c r="K1" s="61" t="str">
        <f>IF(C2="Joe Nogo","C:\Users\joe.nogosek\AppData\Local\Programs\Python\Python39\python.exe",IF(C2="Nick C","C:\Users\nick.catalano\AppData\Local\Programs\Python\Python310\python.exe",IF(C2="Jose CN","C:\Users\jose.coelhoneto\AppData\Local\Programs\Python\Python39\python.exe",IF(C2="Ross K","C:\Python37\python.exe",IF(OR(C2="Josh G",C2="Josh Guck"),"C:\Users\josh.guck\AppData\Local\Programs\Python\Python310\python.exe",IF(C2="Ethan U","C:\Users\ethan.unruh\AppData\Local\Programs\Python\Python310\python.exe",""))))))</f>
        <v>C:\Users\ethan.unruh\AppData\Local\Programs\Python\Python310\python.exe</v>
      </c>
    </row>
    <row r="2" spans="1:11" x14ac:dyDescent="0.25">
      <c r="A2" s="78" t="s">
        <v>3</v>
      </c>
      <c r="B2" s="77"/>
      <c r="C2" s="2" t="str" cm="1">
        <f t="array" ref="C2">IF(C1="","",LOOKUP(2,1/('[1]2022'!$I$3:$I$2468=C1),'[1]2022'!$H$3:$H$2468))</f>
        <v>Ethan U</v>
      </c>
      <c r="D2" s="22" t="s">
        <v>4</v>
      </c>
      <c r="I2" s="59" t="s">
        <v>369</v>
      </c>
      <c r="J2" s="60"/>
      <c r="K2" s="61" t="str">
        <f>IF(J8="Joe Nogo","C:\Users\joe.nogosek\AppData\Local\Programs\Python\Python39\python.exe",IF(J8="Nick C","C:\Users\nick.catalano\AppData\Local\Programs\Python\Python310\python.exe",IF(J8="Jose CN","C:\Users\jose.coelhoneto\AppData\Local\Programs\Python\Python39\python.exe",IF(J8="Ross K","C:\Python37\python.exe",IF(OR(J8="Josh G",J8="Josh Guck"),"C:\Users\josh.guck\AppData\Local\Programs\Python\Python310\python.exe",IF(J8="Ethan U","C:\Users\ethan.unruh\AppData\Local\Programs\Python\Python310\python.exe",""))))))</f>
        <v/>
      </c>
    </row>
    <row r="3" spans="1:11" x14ac:dyDescent="0.25">
      <c r="A3" s="78" t="s">
        <v>5</v>
      </c>
      <c r="B3" s="77"/>
      <c r="C3" s="5" t="s">
        <v>312</v>
      </c>
      <c r="D3" s="15" t="s">
        <v>6</v>
      </c>
      <c r="I3" s="59"/>
      <c r="J3" s="39"/>
      <c r="K3" s="59"/>
    </row>
    <row r="4" spans="1:11" x14ac:dyDescent="0.25">
      <c r="A4" s="78" t="s">
        <v>7</v>
      </c>
      <c r="B4" s="77"/>
      <c r="C4" s="5" cm="1">
        <f t="array" ref="C4">IF(C1="","",LOOKUP(2,1/('[1]2022'!$I$3:$I$2468=C1),'[1]2022'!$A$3:$A$2468))</f>
        <v>44647.6875</v>
      </c>
      <c r="D4" s="36" t="s">
        <v>343</v>
      </c>
      <c r="E4" s="56"/>
      <c r="F4" s="56"/>
      <c r="G4" s="56"/>
      <c r="H4" s="57"/>
    </row>
    <row r="5" spans="1:11" x14ac:dyDescent="0.25">
      <c r="A5" s="88" t="s">
        <v>8</v>
      </c>
      <c r="B5" s="77"/>
      <c r="C5" s="5" t="str">
        <f>IF(C1="","",IF(NOT(OR(COUNTA(E13:E89),COUNTA(E127:E134))),"",IF(OR(COUNTIF(F13:F89,"x")&gt;0,COUNTIF(F127:F134,"x")&gt;0,COUNTIF(F13:F89,"X")&gt;0,COUNTIF(F127:F134,"X")&gt;0),"Rejected",IF(NOT(OR(COUNTA(F13:F89),COUNTA(F127:F134))),"Approved","CA"))))</f>
        <v>Rejected</v>
      </c>
      <c r="D5" s="58" t="str" cm="1">
        <f t="array" ref="D5">_xlfn.IFS(C5="Approved","This application has been approved."&amp;CHAR(10)&amp;CHAR(10)&amp;"Labels and Witness Test Procedure will need to be provided later in the process. Please refer to the TSM for these requirements.",OR(C5="CA",C5="Conditionally Approved"),"This application has been conditionally approved. Please note and correct the following moving forward: "&amp;CHAR(10)&amp;CHAR(10)&amp;K12&amp;IF(K12&lt;&gt;"",CHAR(10),"")&amp;K13&amp;IF(K13&lt;&gt;"",CHAR(10),"")&amp;K14&amp;IF(K14&lt;&gt;"",CHAR(10),"")&amp;K15&amp;IF(K15&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49&amp;IF(K49&lt;&gt;"",CHAR(10),"")&amp;K50&amp;IF(K50&lt;&gt;"",CHAR(10),"")&amp;K52&amp;IF(K52&lt;&gt;"",CHAR(10),"")&amp;K53&amp;IF(K53&lt;&gt;"",CHAR(10),"")&amp;K54&amp;IF(K54&lt;&gt;"",CHAR(10),"")&amp;K131&amp;IF(K131&lt;&gt;"",CHAR(10),"")&amp;IF(K12="",K66&amp;IF(K66&lt;&gt;"",CHAR(10),""),""&amp;CHAR(13)&amp;CHAR(13)&amp;K66&amp;CHAR(10))&amp;K67&amp;IF(K67&lt;&gt;"",CHAR(10),"")&amp;K68&amp;IF(K68&lt;&gt;"",CHAR(10),"")&amp;K72&amp;IF(K72&lt;&gt;"",CHAR(10),"")&amp;K73&amp;IF(K73&lt;&gt;"",CHAR(10),"")&amp;K74&amp;IF(K74&lt;&gt;"",CHAR(10),"")&amp;K75&amp;IF(K75&lt;&gt;"",CHAR(10),"")&amp;K76&amp;IF(K76&lt;&gt;"",CHAR(10),"")&amp;K81&amp;IF(K81&lt;&gt;"",CHAR(10),"")&amp;K82&amp;IF(K82&lt;&gt;"",CHAR(10),"")&amp;K85&amp;IF(K85&lt;&gt;"",CHAR(10),"")&amp;K86&amp;IF(K86&lt;&gt;"",CHAR(10),"")&amp;K87&amp;IF(K87&lt;&gt;"",CHAR(10),"")&amp;K88&amp;IF(K88&lt;&gt;"",CHAR(10),"")&amp;K89&amp;IF(K89&lt;&gt;"",CHAR(10),"")&amp;K130&amp;IF(K130&lt;&gt;"",CHAR(10),"")&amp;K132&amp;IF(K132&lt;&gt;"",CHAR(10),"")&amp;CHAR(10)&amp;CHAR(10)&amp;"Labels and Witness Test Procedure will need to be provided later in the process. Please refer to the TSM for these requirements.",C5="Rejected","This application has been rejected. Please correct the following before resubmitting: "&amp;CHAR(10)&amp;CHAR(10)&amp;K12&amp;IF(K12&lt;&gt;"",CHAR(10),"")&amp;K13&amp;IF(K13&lt;&gt;"",CHAR(10),"")&amp;K14&amp;IF(K14&lt;&gt;"",CHAR(10),"")&amp;K15&amp;IF(K15&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49&amp;IF(K49&lt;&gt;"",CHAR(10),"")&amp;K50&amp;IF(K50&lt;&gt;"",CHAR(10),"")&amp;K52&amp;IF(K52&lt;&gt;"",CHAR(10),"")&amp;K53&amp;IF(K53&lt;&gt;"",CHAR(10),"")&amp;K54&amp;IF(K54&lt;&gt;"",CHAR(10),"")&amp;K131&amp;IF(K131&lt;&gt;"",CHAR(10),"")&amp;IF(K12="",K66&amp;IF(K66&lt;&gt;"",CHAR(10),""),""&amp;CHAR(13)&amp;CHAR(13)&amp;K66&amp;CHAR(10))&amp;K67&amp;IF(K67&lt;&gt;"",CHAR(10),"")&amp;K68&amp;IF(K68&lt;&gt;"",CHAR(10),"")&amp;K72&amp;IF(K72&lt;&gt;"",CHAR(10),"")&amp;K73&amp;IF(K73&lt;&gt;"",CHAR(10),"")&amp;K74&amp;IF(K74&lt;&gt;"",CHAR(10),"")&amp;K75&amp;IF(K75&lt;&gt;"",CHAR(10),"")&amp;K76&amp;IF(K76&lt;&gt;"",CHAR(10),"")&amp;K81&amp;IF(K81&lt;&gt;"",CHAR(10),"")&amp;K82&amp;IF(K82&lt;&gt;"",CHAR(10),"")&amp;K85&amp;IF(K85&lt;&gt;"",CHAR(10),"")&amp;K86&amp;IF(K86&lt;&gt;"",CHAR(10),"")&amp;K87&amp;IF(K87&lt;&gt;"",CHAR(10),"")&amp;K88&amp;IF(K88&lt;&gt;"",CHAR(10),"")&amp;K89&amp;IF(K89&lt;&gt;"",CHAR(10),"")&amp;K130&amp;IF(K130&lt;&gt;"",CHAR(10),"")&amp;K132&amp;IF(K132&lt;&gt;"",CHAR(10),""))</f>
        <v xml:space="preserve">This application has been rejected. Please correct the following before resubmitting: 
One-Line:
3.2 - Application case number assigned to the project. Missing. Failure to include case numbers in future applications may lead to rejection.
_x000D__x000D_Site Plan:
4.7.1 - Distance shall be noted between this equipment. Distance must be noted between at least the main service meter, utility AC disconnect, and production meter.
</v>
      </c>
    </row>
    <row r="7" spans="1:11" ht="15.75" customHeight="1" thickBot="1" x14ac:dyDescent="0.3">
      <c r="A7" s="80" t="s">
        <v>9</v>
      </c>
      <c r="B7" s="81"/>
      <c r="C7" s="82"/>
      <c r="D7" s="82"/>
      <c r="E7" s="82"/>
      <c r="F7" s="82"/>
      <c r="G7" s="82"/>
      <c r="H7" s="81"/>
      <c r="I7" s="83"/>
      <c r="J7" s="84"/>
    </row>
    <row r="8" spans="1:11" ht="15.75" customHeight="1" thickBot="1" x14ac:dyDescent="0.3">
      <c r="A8" s="85"/>
      <c r="B8" s="81"/>
      <c r="C8" s="82"/>
      <c r="D8" s="82"/>
      <c r="E8" s="82"/>
      <c r="F8" s="82"/>
      <c r="G8" s="82"/>
      <c r="H8" s="84"/>
      <c r="I8" s="6" t="s">
        <v>10</v>
      </c>
      <c r="J8" s="7"/>
    </row>
    <row r="9" spans="1:11" s="1" customFormat="1" ht="15.75" customHeight="1" thickBot="1" x14ac:dyDescent="0.3">
      <c r="B9" s="45"/>
      <c r="E9" s="86" t="s">
        <v>11</v>
      </c>
      <c r="F9" s="87"/>
      <c r="G9" s="77"/>
      <c r="H9" s="48"/>
      <c r="I9" s="6" t="s">
        <v>12</v>
      </c>
      <c r="J9" s="8"/>
    </row>
    <row r="10" spans="1:11" ht="15.75" customHeight="1" thickBot="1" x14ac:dyDescent="0.3">
      <c r="A10" s="49" t="s">
        <v>13</v>
      </c>
      <c r="B10" s="89" t="s">
        <v>14</v>
      </c>
      <c r="C10" s="90"/>
      <c r="D10" s="49" t="s">
        <v>15</v>
      </c>
      <c r="E10" s="10" t="s">
        <v>16</v>
      </c>
      <c r="F10" s="10" t="s">
        <v>17</v>
      </c>
      <c r="G10" s="10" t="s">
        <v>18</v>
      </c>
      <c r="H10" s="10" t="s">
        <v>19</v>
      </c>
      <c r="I10" s="12" t="s">
        <v>20</v>
      </c>
      <c r="J10" s="12" t="s">
        <v>21</v>
      </c>
    </row>
    <row r="11" spans="1:11" ht="16.5" customHeight="1" thickBot="1" x14ac:dyDescent="0.3">
      <c r="A11" s="92" t="s">
        <v>22</v>
      </c>
      <c r="B11" s="93"/>
      <c r="C11" s="93"/>
      <c r="D11" s="93"/>
      <c r="E11" s="93"/>
      <c r="F11" s="93"/>
      <c r="G11" s="93"/>
      <c r="H11" s="93"/>
      <c r="I11" s="93"/>
      <c r="J11" s="94"/>
    </row>
    <row r="12" spans="1:11" x14ac:dyDescent="0.25">
      <c r="A12" s="91" t="s">
        <v>23</v>
      </c>
      <c r="B12" s="81"/>
      <c r="C12" s="100"/>
      <c r="D12" s="101"/>
      <c r="E12" s="101"/>
      <c r="F12" s="101"/>
      <c r="G12" s="101"/>
      <c r="H12" s="101"/>
      <c r="I12" s="101"/>
      <c r="J12" s="102"/>
      <c r="K12" t="str">
        <f>IF(OR(COUNTIF(F13:F54,"x")&gt;0,COUNTIF(F13:F54,"CA")&gt;0,COUNTIF(F131,"x")&gt;0,COUNTIF(F131,"CA")&gt;0),"One-Line:","")</f>
        <v>One-Line:</v>
      </c>
    </row>
    <row r="13" spans="1:11" ht="31.5" customHeight="1" x14ac:dyDescent="0.25">
      <c r="A13" s="16">
        <v>3.1</v>
      </c>
      <c r="B13" s="76" t="s">
        <v>24</v>
      </c>
      <c r="C13" s="77"/>
      <c r="D13" s="43" t="s">
        <v>25</v>
      </c>
      <c r="E13" s="55"/>
      <c r="F13" s="13"/>
      <c r="G13" s="13"/>
      <c r="H13" s="4" t="str">
        <f>IF(F13&lt;&gt;"","Name on oneline does not match the customer name listed on Salesforce. Please update so they match.","")</f>
        <v/>
      </c>
      <c r="I13" s="20"/>
      <c r="J13" s="20"/>
      <c r="K13" t="str">
        <f t="shared" ref="K13:K29" si="0">IF(F13&lt;&gt;"",A13&amp;" - "&amp;B13&amp;H13,"")</f>
        <v/>
      </c>
    </row>
    <row r="14" spans="1:11" ht="30.75" customHeight="1" x14ac:dyDescent="0.25">
      <c r="A14" s="17">
        <v>3.2</v>
      </c>
      <c r="B14" s="76" t="s">
        <v>27</v>
      </c>
      <c r="C14" s="77"/>
      <c r="D14" s="43" t="s">
        <v>28</v>
      </c>
      <c r="E14" s="13"/>
      <c r="F14" s="13" t="s">
        <v>26</v>
      </c>
      <c r="G14" s="13"/>
      <c r="H14" s="4" t="str">
        <f>IF(F14&lt;&gt;"","Missing. Failure to include case numbers in future applications may lead to rejection.","")</f>
        <v>Missing. Failure to include case numbers in future applications may lead to rejection.</v>
      </c>
      <c r="I14" s="21"/>
      <c r="J14" s="20"/>
      <c r="K14" t="str">
        <f t="shared" si="0"/>
        <v>3.2 - Application case number assigned to the project. Missing. Failure to include case numbers in future applications may lead to rejection.</v>
      </c>
    </row>
    <row r="15" spans="1:11" ht="25.5" customHeight="1" x14ac:dyDescent="0.25">
      <c r="A15" s="16">
        <v>3.3</v>
      </c>
      <c r="B15" s="76" t="s">
        <v>29</v>
      </c>
      <c r="C15" s="77"/>
      <c r="D15" s="43" t="s">
        <v>30</v>
      </c>
      <c r="E15" s="13"/>
      <c r="F15" s="13"/>
      <c r="G15" s="13"/>
      <c r="H15" s="4" t="str">
        <f>IF(F15&lt;&gt;"","Missing, please include.","")</f>
        <v/>
      </c>
      <c r="I15" s="21"/>
      <c r="J15" s="20"/>
      <c r="K15" t="str">
        <f t="shared" si="0"/>
        <v/>
      </c>
    </row>
    <row r="16" spans="1:11" hidden="1" x14ac:dyDescent="0.25">
      <c r="A16" s="16">
        <v>3.4</v>
      </c>
      <c r="B16" s="76" t="s">
        <v>31</v>
      </c>
      <c r="C16" s="77"/>
      <c r="D16" s="43"/>
      <c r="E16" s="13"/>
      <c r="F16" s="13"/>
      <c r="G16" s="13"/>
      <c r="H16" s="4"/>
      <c r="I16" s="21"/>
      <c r="J16" s="20"/>
      <c r="K16" t="str">
        <f t="shared" si="0"/>
        <v/>
      </c>
    </row>
    <row r="17" spans="1:11" ht="28.5" hidden="1" customHeight="1" x14ac:dyDescent="0.25">
      <c r="A17" s="16">
        <v>3.5</v>
      </c>
      <c r="B17" s="76" t="s">
        <v>32</v>
      </c>
      <c r="C17" s="77"/>
      <c r="D17" s="43" t="s">
        <v>33</v>
      </c>
      <c r="E17" s="13"/>
      <c r="F17" s="13"/>
      <c r="G17" s="13"/>
      <c r="H17" s="4"/>
      <c r="I17" s="21"/>
      <c r="J17" s="20"/>
      <c r="K17" t="str">
        <f t="shared" si="0"/>
        <v/>
      </c>
    </row>
    <row r="18" spans="1:11" ht="24.75" customHeight="1" x14ac:dyDescent="0.25">
      <c r="A18" s="91" t="s">
        <v>34</v>
      </c>
      <c r="B18" s="81"/>
      <c r="C18" s="103"/>
      <c r="D18" s="87"/>
      <c r="E18" s="87"/>
      <c r="F18" s="87"/>
      <c r="G18" s="87"/>
      <c r="H18" s="87"/>
      <c r="I18" s="87"/>
      <c r="J18" s="77"/>
      <c r="K18" t="str">
        <f t="shared" si="0"/>
        <v/>
      </c>
    </row>
    <row r="19" spans="1:11" ht="23.25" customHeight="1" x14ac:dyDescent="0.25">
      <c r="A19" s="18"/>
      <c r="B19" s="76" t="s">
        <v>35</v>
      </c>
      <c r="C19" s="77"/>
      <c r="D19" s="23"/>
      <c r="E19" s="24"/>
      <c r="F19" s="24"/>
      <c r="G19" s="24"/>
      <c r="H19" s="24"/>
      <c r="I19" s="24"/>
      <c r="J19" s="25"/>
      <c r="K19" t="str">
        <f t="shared" si="0"/>
        <v/>
      </c>
    </row>
    <row r="20" spans="1:11" ht="31.5" customHeight="1" x14ac:dyDescent="0.25">
      <c r="A20" s="28" t="s">
        <v>36</v>
      </c>
      <c r="B20" s="76" t="s">
        <v>37</v>
      </c>
      <c r="C20" s="77"/>
      <c r="D20" s="43" t="s">
        <v>38</v>
      </c>
      <c r="E20" s="13"/>
      <c r="F20" s="13"/>
      <c r="G20" s="13"/>
      <c r="H20" s="4"/>
      <c r="I20" s="21"/>
      <c r="J20" s="20"/>
      <c r="K20" t="str">
        <f t="shared" si="0"/>
        <v/>
      </c>
    </row>
    <row r="21" spans="1:11" ht="180" x14ac:dyDescent="0.25">
      <c r="A21" s="28" t="s">
        <v>36</v>
      </c>
      <c r="B21" s="76" t="s">
        <v>39</v>
      </c>
      <c r="C21" s="77"/>
      <c r="D21" s="43"/>
      <c r="E21" s="13"/>
      <c r="F21" s="13"/>
      <c r="G21" s="13"/>
      <c r="H21" s="4" t="str">
        <f>IF(F21="","","The DER system should NOT be tapping onto the line/supply side of the main service meter. If tapping onto the main service meter is desired, both the wiring and the language on the One-Line Diagram must be updated to indicate a load-side tap.
Possible"&amp;""&amp;" Revision Option Example: Keeping the Utility Meter block/schematic in it's present orientation, disconnect/remove all lines (both load and line side). Rename the bottom side of meter to Line"&amp;""&amp;" side and draw lines to utility grid. Rename top side as Load side and draw separate lines to both the PV AC Disconnect and the Main Service Panel.")</f>
        <v/>
      </c>
      <c r="I21" s="21"/>
      <c r="J21" s="20"/>
      <c r="K21" t="str">
        <f t="shared" si="0"/>
        <v/>
      </c>
    </row>
    <row r="22" spans="1:11" ht="23.25" customHeight="1" x14ac:dyDescent="0.25">
      <c r="A22" s="28" t="s">
        <v>40</v>
      </c>
      <c r="B22" s="76" t="s">
        <v>41</v>
      </c>
      <c r="C22" s="77"/>
      <c r="D22" s="43" t="s">
        <v>42</v>
      </c>
      <c r="E22" s="13"/>
      <c r="F22" s="13"/>
      <c r="G22" s="13"/>
      <c r="H22" s="4"/>
      <c r="I22" s="21"/>
      <c r="J22" s="20"/>
      <c r="K22" t="str">
        <f t="shared" si="0"/>
        <v/>
      </c>
    </row>
    <row r="23" spans="1:11" x14ac:dyDescent="0.25">
      <c r="A23" s="73">
        <v>3.7</v>
      </c>
      <c r="B23" s="76" t="s">
        <v>43</v>
      </c>
      <c r="C23" s="77"/>
      <c r="D23" s="72" t="s">
        <v>44</v>
      </c>
      <c r="E23" s="13"/>
      <c r="F23" s="13"/>
      <c r="G23" s="13"/>
      <c r="H23" s="4" t="str">
        <f>IF(F23&lt;&gt;"","There must be protection in the form of a breaker or fuse between the DER and utility located immediately after the main service meter.","")</f>
        <v/>
      </c>
      <c r="I23" s="21"/>
      <c r="J23" s="20"/>
      <c r="K23" t="str">
        <f t="shared" si="0"/>
        <v/>
      </c>
    </row>
    <row r="24" spans="1:11" ht="24" x14ac:dyDescent="0.25">
      <c r="A24" s="73" t="s">
        <v>45</v>
      </c>
      <c r="B24" s="76" t="s">
        <v>46</v>
      </c>
      <c r="C24" s="77"/>
      <c r="D24" s="72" t="s">
        <v>47</v>
      </c>
      <c r="E24" s="13"/>
      <c r="F24" s="13"/>
      <c r="G24" s="13"/>
      <c r="H24" s="4" t="str">
        <f>IF(F24&lt;&gt;"","Per requirement 3.7 the protective device must be located immediately after main service meter. This design does not satisfy the requirement.","")</f>
        <v/>
      </c>
      <c r="I24" s="21"/>
      <c r="J24" s="20"/>
      <c r="K24" t="str">
        <f t="shared" si="0"/>
        <v/>
      </c>
    </row>
    <row r="25" spans="1:11" ht="24" customHeight="1" x14ac:dyDescent="0.25">
      <c r="A25" s="28" t="s">
        <v>48</v>
      </c>
      <c r="B25" s="76" t="s">
        <v>49</v>
      </c>
      <c r="C25" s="77"/>
      <c r="D25" s="43"/>
      <c r="E25" s="13"/>
      <c r="F25" s="13"/>
      <c r="G25" s="13"/>
      <c r="H25" s="4"/>
      <c r="I25" s="21"/>
      <c r="J25" s="20"/>
      <c r="K25" t="str">
        <f t="shared" si="0"/>
        <v/>
      </c>
    </row>
    <row r="26" spans="1:11" ht="75" customHeight="1" x14ac:dyDescent="0.25">
      <c r="A26" s="28" t="s">
        <v>50</v>
      </c>
      <c r="B26" s="76" t="s">
        <v>51</v>
      </c>
      <c r="C26" s="77"/>
      <c r="D26" s="43" t="s">
        <v>52</v>
      </c>
      <c r="E26" s="13"/>
      <c r="F26" s="13"/>
      <c r="G26" s="13"/>
      <c r="H26" s="4" t="str" cm="1">
        <f t="array" ref="H26">_xlfn.IFS(F26="CA","Value on Salesforce does not match value listed on oneline. Please update so they match.",OR(F26="x",F26="X"),"Value on Salesforce does not match value listed on oneline. This may be due to the inverters not matching in the Salesforce application assets (xxxx model) and the One-Line (xxxx model). Please update so they match.",F26="","")</f>
        <v/>
      </c>
      <c r="I26" s="21"/>
      <c r="J26" s="20"/>
      <c r="K26" t="str">
        <f t="shared" si="0"/>
        <v/>
      </c>
    </row>
    <row r="27" spans="1:11" x14ac:dyDescent="0.25">
      <c r="A27" s="19" t="s">
        <v>53</v>
      </c>
      <c r="B27" s="76" t="s">
        <v>54</v>
      </c>
      <c r="C27" s="77"/>
      <c r="D27" s="43" t="s">
        <v>55</v>
      </c>
      <c r="E27" s="14"/>
      <c r="F27" s="14"/>
      <c r="G27" s="14"/>
      <c r="H27" s="11" t="str">
        <f>IF(F27&lt;&gt;"","Missing, please include.","")</f>
        <v/>
      </c>
      <c r="I27" s="22"/>
      <c r="J27" s="20"/>
      <c r="K27" t="str">
        <f t="shared" si="0"/>
        <v/>
      </c>
    </row>
    <row r="28" spans="1:11" x14ac:dyDescent="0.25">
      <c r="A28" s="34" t="s">
        <v>56</v>
      </c>
      <c r="B28" s="76" t="s">
        <v>57</v>
      </c>
      <c r="C28" s="77"/>
      <c r="D28" s="43" t="s">
        <v>58</v>
      </c>
      <c r="E28" s="13"/>
      <c r="F28" s="13"/>
      <c r="G28" s="13"/>
      <c r="H28" s="11" t="str">
        <f>IF(F28&lt;&gt;"","Missing. Please include with units (W, kW, VA, or kVA).","")</f>
        <v/>
      </c>
      <c r="I28" s="21"/>
      <c r="J28" s="20"/>
      <c r="K28" t="str">
        <f t="shared" si="0"/>
        <v/>
      </c>
    </row>
    <row r="29" spans="1:11" ht="24" customHeight="1" x14ac:dyDescent="0.25">
      <c r="A29" s="28" t="s">
        <v>59</v>
      </c>
      <c r="B29" s="76" t="s">
        <v>340</v>
      </c>
      <c r="C29" s="77"/>
      <c r="D29" s="43" t="s">
        <v>60</v>
      </c>
      <c r="E29" s="13"/>
      <c r="F29" s="13"/>
      <c r="G29" s="13"/>
      <c r="H29" s="11"/>
      <c r="I29" s="21"/>
      <c r="J29" s="20"/>
      <c r="K29" s="53" t="str">
        <f t="shared" si="0"/>
        <v/>
      </c>
    </row>
    <row r="30" spans="1:11" x14ac:dyDescent="0.25">
      <c r="A30" s="34" t="s">
        <v>61</v>
      </c>
      <c r="B30" s="76" t="s">
        <v>62</v>
      </c>
      <c r="C30" s="77"/>
      <c r="D30" s="43"/>
      <c r="E30" s="13"/>
      <c r="F30" s="13"/>
      <c r="G30" s="13"/>
      <c r="H30" s="4" t="str">
        <f>IF(F30&lt;&gt;"","Missing, please include","")</f>
        <v/>
      </c>
      <c r="I30" s="21"/>
      <c r="J30" s="20"/>
      <c r="K30" t="str">
        <f t="shared" ref="K30:K65" si="1">IF(F30&lt;&gt;"",A30&amp;" - "&amp;B30&amp;H30,"")</f>
        <v/>
      </c>
    </row>
    <row r="31" spans="1:11" x14ac:dyDescent="0.25">
      <c r="A31" s="34" t="s">
        <v>63</v>
      </c>
      <c r="B31" s="76" t="s">
        <v>64</v>
      </c>
      <c r="C31" s="77"/>
      <c r="D31" s="43" t="s">
        <v>65</v>
      </c>
      <c r="E31" s="13" t="s">
        <v>26</v>
      </c>
      <c r="F31" s="13"/>
      <c r="G31" s="13"/>
      <c r="H31" s="4" t="str">
        <f>IF(F30&lt;&gt;"","Fixing 3.12 will resolve this issue as well.","")</f>
        <v/>
      </c>
      <c r="I31" s="21"/>
      <c r="J31" s="20"/>
      <c r="K31" t="str">
        <f t="shared" si="1"/>
        <v/>
      </c>
    </row>
    <row r="32" spans="1:11" s="33" customFormat="1" hidden="1" x14ac:dyDescent="0.25">
      <c r="A32" s="30" t="s">
        <v>66</v>
      </c>
      <c r="B32" s="79" t="s">
        <v>67</v>
      </c>
      <c r="C32" s="77"/>
      <c r="D32" s="44"/>
      <c r="E32" s="31"/>
      <c r="F32" s="31"/>
      <c r="G32" s="31"/>
      <c r="H32" s="32"/>
      <c r="I32" s="32"/>
      <c r="J32" s="31"/>
      <c r="K32" t="str">
        <f t="shared" si="1"/>
        <v/>
      </c>
    </row>
    <row r="33" spans="1:11" s="33" customFormat="1" hidden="1" x14ac:dyDescent="0.25">
      <c r="A33" s="30" t="s">
        <v>61</v>
      </c>
      <c r="B33" s="79" t="s">
        <v>68</v>
      </c>
      <c r="C33" s="77"/>
      <c r="D33" s="44" t="s">
        <v>69</v>
      </c>
      <c r="E33" s="31"/>
      <c r="F33" s="31"/>
      <c r="G33" s="31"/>
      <c r="H33" s="32"/>
      <c r="I33" s="32"/>
      <c r="J33" s="31"/>
      <c r="K33" t="str">
        <f t="shared" si="1"/>
        <v/>
      </c>
    </row>
    <row r="34" spans="1:11" ht="24" x14ac:dyDescent="0.25">
      <c r="A34" s="74" t="s">
        <v>70</v>
      </c>
      <c r="B34" s="76" t="s">
        <v>71</v>
      </c>
      <c r="C34" s="77"/>
      <c r="D34" s="72" t="s">
        <v>72</v>
      </c>
      <c r="E34" s="13" t="s">
        <v>26</v>
      </c>
      <c r="F34" s="13"/>
      <c r="G34" s="13"/>
      <c r="H34" s="4" t="str">
        <f>IF(F34&lt;&gt;"","Please explicitly call out which DER is existing and which is proposed.","")</f>
        <v/>
      </c>
      <c r="I34" s="21"/>
      <c r="J34" s="20"/>
      <c r="K34" t="str">
        <f t="shared" si="1"/>
        <v/>
      </c>
    </row>
    <row r="35" spans="1:11" ht="72" x14ac:dyDescent="0.25">
      <c r="A35" s="74" t="s">
        <v>73</v>
      </c>
      <c r="B35" s="76" t="s">
        <v>342</v>
      </c>
      <c r="C35" s="77"/>
      <c r="D35" s="72" t="s">
        <v>74</v>
      </c>
      <c r="E35" s="13" t="s">
        <v>26</v>
      </c>
      <c r="F35" s="13"/>
      <c r="G35" s="13"/>
      <c r="H35" s="4" t="str">
        <f>IF(F35&lt;&gt;"","Please note the correct alphanumeric configuration out of the options listed in Appendix B of the technical specification"&amp;" "&amp;"manual (https://www.xcelenergy.com/staticfiles/xe-responsive/Working%20With%20Us/How%20to%20Interconnect/MN-Techinical%20Specifications%20Manual.pdf).","")</f>
        <v/>
      </c>
      <c r="I35" s="21"/>
      <c r="J35" s="20"/>
      <c r="K35" t="str">
        <f t="shared" si="1"/>
        <v/>
      </c>
    </row>
    <row r="36" spans="1:11" ht="24" customHeight="1" x14ac:dyDescent="0.25">
      <c r="A36" s="34" t="s">
        <v>75</v>
      </c>
      <c r="B36" s="76" t="s">
        <v>76</v>
      </c>
      <c r="C36" s="77"/>
      <c r="D36" s="43" t="s">
        <v>77</v>
      </c>
      <c r="E36" s="13"/>
      <c r="F36" s="13"/>
      <c r="G36" s="13"/>
      <c r="H36" s="4"/>
      <c r="I36" s="21"/>
      <c r="J36" s="20"/>
      <c r="K36" t="str">
        <f t="shared" si="1"/>
        <v/>
      </c>
    </row>
    <row r="37" spans="1:11" ht="48.75" customHeight="1" x14ac:dyDescent="0.25">
      <c r="A37" s="34" t="s">
        <v>78</v>
      </c>
      <c r="B37" s="76" t="s">
        <v>79</v>
      </c>
      <c r="C37" s="77"/>
      <c r="D37" s="43" t="s">
        <v>341</v>
      </c>
      <c r="E37" s="13"/>
      <c r="F37" s="13"/>
      <c r="G37" s="13"/>
      <c r="H37" s="4"/>
      <c r="I37" s="21"/>
      <c r="J37" s="20"/>
      <c r="K37" t="str">
        <f t="shared" si="1"/>
        <v/>
      </c>
    </row>
    <row r="38" spans="1:11" x14ac:dyDescent="0.25">
      <c r="A38" s="95" t="s">
        <v>80</v>
      </c>
      <c r="B38" s="77"/>
      <c r="C38" s="99"/>
      <c r="D38" s="87"/>
      <c r="E38" s="87"/>
      <c r="F38" s="87"/>
      <c r="G38" s="87"/>
      <c r="H38" s="87"/>
      <c r="I38" s="87"/>
      <c r="J38" s="77"/>
      <c r="K38" t="str">
        <f t="shared" si="1"/>
        <v/>
      </c>
    </row>
    <row r="39" spans="1:11" ht="24" x14ac:dyDescent="0.25">
      <c r="A39" s="73" t="s">
        <v>81</v>
      </c>
      <c r="B39" s="76" t="s">
        <v>82</v>
      </c>
      <c r="C39" s="77"/>
      <c r="D39" s="72" t="s">
        <v>344</v>
      </c>
      <c r="E39" s="13" t="s">
        <v>26</v>
      </c>
      <c r="F39" s="13"/>
      <c r="G39" s="13"/>
      <c r="H39" s="4" t="str" cm="1">
        <f t="array" ref="H39">_xlfn.IFS(OR(F39="x",F39="X"),"A production meter is not required for this application type (DG &lt; 40kW). Please proceed with one of the following options:"&amp;CHAR(10)&amp;"     "&amp;"1.) remove it from one-line and site plan."&amp;CHAR(10)&amp;"     "&amp;"2.) remove "&amp;CHAR(34)&amp;"Utility"&amp;CHAR(34)&amp;" and state it is customer owned and supplied."&amp;CHAR(10)&amp;"     "&amp;"3.) A customer may choose to install a utility owned production meter, however they will be charged the corresponding monthly meter"&amp;""&amp;" fee as noted in our Section 10 tariff. If this is the preferred option the production meter may stay on the one-line and site plan.",F39="CA", "Please remove all notes referencing a production meter.",F39="","")</f>
        <v/>
      </c>
      <c r="I39" s="21"/>
      <c r="J39" s="20"/>
      <c r="K39" t="str">
        <f t="shared" si="1"/>
        <v/>
      </c>
    </row>
    <row r="40" spans="1:11" x14ac:dyDescent="0.25">
      <c r="A40" s="29" t="s">
        <v>83</v>
      </c>
      <c r="B40" s="76" t="s">
        <v>84</v>
      </c>
      <c r="C40" s="77"/>
      <c r="D40" s="43"/>
      <c r="E40" s="13" t="s">
        <v>26</v>
      </c>
      <c r="F40" s="13"/>
      <c r="G40" s="13"/>
      <c r="H40" s="4"/>
      <c r="I40" s="21"/>
      <c r="J40" s="20"/>
      <c r="K40" t="str">
        <f t="shared" si="1"/>
        <v/>
      </c>
    </row>
    <row r="41" spans="1:11" x14ac:dyDescent="0.25">
      <c r="A41" s="29" t="s">
        <v>85</v>
      </c>
      <c r="B41" s="76" t="s">
        <v>86</v>
      </c>
      <c r="C41" s="77"/>
      <c r="D41" s="43"/>
      <c r="E41" s="13" t="s">
        <v>26</v>
      </c>
      <c r="F41" s="13"/>
      <c r="G41" s="13"/>
      <c r="H41" s="4"/>
      <c r="I41" s="21"/>
      <c r="J41" s="20"/>
      <c r="K41" t="str">
        <f t="shared" si="1"/>
        <v/>
      </c>
    </row>
    <row r="42" spans="1:11" ht="54" customHeight="1" x14ac:dyDescent="0.25">
      <c r="A42" s="75" t="s">
        <v>87</v>
      </c>
      <c r="B42" s="76" t="s">
        <v>367</v>
      </c>
      <c r="C42" s="77"/>
      <c r="D42" s="72" t="s">
        <v>368</v>
      </c>
      <c r="E42" s="13" t="s">
        <v>26</v>
      </c>
      <c r="F42" s="13"/>
      <c r="G42" s="13"/>
      <c r="H42" s="4"/>
      <c r="I42" s="21"/>
      <c r="J42" s="20"/>
      <c r="K42" t="str">
        <f t="shared" si="1"/>
        <v/>
      </c>
    </row>
    <row r="43" spans="1:11" ht="24" customHeight="1" x14ac:dyDescent="0.25">
      <c r="A43" s="29" t="s">
        <v>88</v>
      </c>
      <c r="B43" s="76" t="s">
        <v>89</v>
      </c>
      <c r="C43" s="77"/>
      <c r="D43" s="43" t="s">
        <v>347</v>
      </c>
      <c r="E43" s="13" t="s">
        <v>26</v>
      </c>
      <c r="F43" s="13"/>
      <c r="G43" s="13"/>
      <c r="H43" s="4"/>
      <c r="I43" s="21"/>
      <c r="J43" s="20"/>
      <c r="K43" t="str">
        <f t="shared" si="1"/>
        <v/>
      </c>
    </row>
    <row r="44" spans="1:11" ht="45.75" customHeight="1" x14ac:dyDescent="0.25">
      <c r="A44" s="75" t="s">
        <v>90</v>
      </c>
      <c r="B44" s="76" t="s">
        <v>91</v>
      </c>
      <c r="C44" s="77"/>
      <c r="D44" s="72" t="s">
        <v>346</v>
      </c>
      <c r="E44" s="13" t="s">
        <v>26</v>
      </c>
      <c r="F44" s="13"/>
      <c r="G44" s="13"/>
      <c r="H44" s="4" t="str">
        <f>IF(F44="","","DER side of production meter to be labeled line side and utility side of production meter to be labeled load side.")</f>
        <v/>
      </c>
      <c r="I44" s="21"/>
      <c r="J44" s="20"/>
      <c r="K44" t="str">
        <f t="shared" si="1"/>
        <v/>
      </c>
    </row>
    <row r="45" spans="1:11" s="33" customFormat="1" ht="31.5" hidden="1" customHeight="1" x14ac:dyDescent="0.25">
      <c r="A45" s="35" t="s">
        <v>92</v>
      </c>
      <c r="B45" s="79" t="s">
        <v>93</v>
      </c>
      <c r="C45" s="77"/>
      <c r="D45" s="44" t="s">
        <v>94</v>
      </c>
      <c r="E45" s="31"/>
      <c r="F45" s="31"/>
      <c r="G45" s="31"/>
      <c r="H45" s="32"/>
      <c r="I45" s="32"/>
      <c r="J45" s="31"/>
      <c r="K45" t="str">
        <f t="shared" si="1"/>
        <v/>
      </c>
    </row>
    <row r="46" spans="1:11" ht="24" customHeight="1" x14ac:dyDescent="0.25">
      <c r="A46" s="29" t="s">
        <v>95</v>
      </c>
      <c r="B46" s="76" t="s">
        <v>96</v>
      </c>
      <c r="C46" s="77"/>
      <c r="D46" s="43" t="s">
        <v>345</v>
      </c>
      <c r="E46" s="13" t="s">
        <v>26</v>
      </c>
      <c r="F46" s="13"/>
      <c r="G46" s="13"/>
      <c r="H46" s="4"/>
      <c r="I46" s="21"/>
      <c r="J46" s="20"/>
      <c r="K46" t="str">
        <f t="shared" si="1"/>
        <v/>
      </c>
    </row>
    <row r="47" spans="1:11" ht="24.75" customHeight="1" x14ac:dyDescent="0.25">
      <c r="A47" s="28" t="s">
        <v>97</v>
      </c>
      <c r="B47" s="76" t="s">
        <v>98</v>
      </c>
      <c r="C47" s="77"/>
      <c r="D47" s="43" t="s">
        <v>99</v>
      </c>
      <c r="E47" s="13" t="s">
        <v>26</v>
      </c>
      <c r="F47" s="13"/>
      <c r="G47" s="13"/>
      <c r="H47" s="4"/>
      <c r="I47" s="21"/>
      <c r="J47" s="20"/>
      <c r="K47" t="str">
        <f t="shared" si="1"/>
        <v/>
      </c>
    </row>
    <row r="48" spans="1:11" x14ac:dyDescent="0.25">
      <c r="A48" s="95" t="s">
        <v>100</v>
      </c>
      <c r="B48" s="77"/>
      <c r="C48" s="99"/>
      <c r="D48" s="87"/>
      <c r="E48" s="87"/>
      <c r="F48" s="87"/>
      <c r="G48" s="87"/>
      <c r="H48" s="87"/>
      <c r="I48" s="87"/>
      <c r="J48" s="77"/>
      <c r="K48" t="str">
        <f t="shared" si="1"/>
        <v/>
      </c>
    </row>
    <row r="49" spans="1:11" ht="42" customHeight="1" x14ac:dyDescent="0.25">
      <c r="A49" s="73" t="s">
        <v>101</v>
      </c>
      <c r="B49" s="76" t="s">
        <v>102</v>
      </c>
      <c r="C49" s="77"/>
      <c r="D49" s="72" t="s">
        <v>103</v>
      </c>
      <c r="E49" s="13" t="s">
        <v>26</v>
      </c>
      <c r="F49" s="13"/>
      <c r="G49" s="13"/>
      <c r="H49" s="4" t="str" cm="1">
        <f t="array" ref="H49">_xlfn.IFS(F49="CA","Please ensure the utility AC disconnect is described as 'visible-open type, lockable, and readily accessible.'", OR(F49="x",F49="X"),"Must distinguish one AC disconnect as the 'Utility AC Disconnect.'",F49="","")</f>
        <v/>
      </c>
      <c r="I49" s="21"/>
      <c r="J49" s="20"/>
      <c r="K49" t="str">
        <f t="shared" si="1"/>
        <v/>
      </c>
    </row>
    <row r="50" spans="1:11" ht="60.75" customHeight="1" x14ac:dyDescent="0.25">
      <c r="A50" s="75" t="s">
        <v>104</v>
      </c>
      <c r="B50" s="76" t="s">
        <v>105</v>
      </c>
      <c r="C50" s="77"/>
      <c r="D50" s="72" t="s">
        <v>106</v>
      </c>
      <c r="E50" s="13" t="s">
        <v>26</v>
      </c>
      <c r="F50" s="13"/>
      <c r="G50" s="13"/>
      <c r="H50" s="4" t="str">
        <f>IF(F50&lt;&gt;"","With this design only a single AC disconnect should be distinguished as the 'Utility AC Disconnect.' The utility AC disconnect must be properly located according to 3.21.2 or 3.21.3.","")</f>
        <v/>
      </c>
      <c r="I50" s="21"/>
      <c r="J50" s="20"/>
      <c r="K50" t="str">
        <f t="shared" si="1"/>
        <v/>
      </c>
    </row>
    <row r="51" spans="1:11" s="33" customFormat="1" ht="36.75" hidden="1" customHeight="1" x14ac:dyDescent="0.25">
      <c r="A51" s="35" t="s">
        <v>107</v>
      </c>
      <c r="B51" s="79" t="s">
        <v>108</v>
      </c>
      <c r="C51" s="77"/>
      <c r="D51" s="44"/>
      <c r="E51" s="31"/>
      <c r="F51" s="31"/>
      <c r="G51" s="31"/>
      <c r="H51" s="32"/>
      <c r="I51" s="32"/>
      <c r="J51" s="31"/>
      <c r="K51" t="str">
        <f t="shared" si="1"/>
        <v/>
      </c>
    </row>
    <row r="52" spans="1:11" ht="25.5" customHeight="1" x14ac:dyDescent="0.25">
      <c r="A52" s="75" t="s">
        <v>107</v>
      </c>
      <c r="B52" s="76" t="s">
        <v>109</v>
      </c>
      <c r="C52" s="77"/>
      <c r="D52" s="72"/>
      <c r="E52" s="13" t="s">
        <v>26</v>
      </c>
      <c r="F52" s="13"/>
      <c r="G52" s="13"/>
      <c r="H52" s="4"/>
      <c r="I52" s="21"/>
      <c r="J52" s="20"/>
      <c r="K52" t="str">
        <f t="shared" si="1"/>
        <v/>
      </c>
    </row>
    <row r="53" spans="1:11" ht="25.5" customHeight="1" x14ac:dyDescent="0.25">
      <c r="A53" s="75" t="s">
        <v>110</v>
      </c>
      <c r="B53" s="76" t="s">
        <v>111</v>
      </c>
      <c r="C53" s="77"/>
      <c r="D53" s="72"/>
      <c r="E53" s="13" t="s">
        <v>26</v>
      </c>
      <c r="F53" s="13"/>
      <c r="G53" s="13"/>
      <c r="H53" s="4"/>
      <c r="I53" s="21"/>
      <c r="J53" s="20"/>
      <c r="K53" t="str">
        <f t="shared" si="1"/>
        <v/>
      </c>
    </row>
    <row r="54" spans="1:11" ht="51" customHeight="1" x14ac:dyDescent="0.25">
      <c r="A54" s="29" t="s">
        <v>112</v>
      </c>
      <c r="B54" s="76" t="s">
        <v>113</v>
      </c>
      <c r="C54" s="77"/>
      <c r="D54" s="43"/>
      <c r="E54" s="13" t="s">
        <v>26</v>
      </c>
      <c r="F54" s="13"/>
      <c r="G54" s="13"/>
      <c r="H54" s="4"/>
      <c r="I54" s="21"/>
      <c r="J54" s="20"/>
      <c r="K54" t="str">
        <f t="shared" si="1"/>
        <v/>
      </c>
    </row>
    <row r="55" spans="1:11" hidden="1" x14ac:dyDescent="0.25">
      <c r="A55" s="95" t="s">
        <v>114</v>
      </c>
      <c r="B55" s="77"/>
      <c r="C55" s="88" t="s">
        <v>115</v>
      </c>
      <c r="D55" s="87"/>
      <c r="E55" s="87"/>
      <c r="F55" s="87"/>
      <c r="G55" s="87"/>
      <c r="H55" s="87"/>
      <c r="I55" s="87"/>
      <c r="J55" s="77"/>
      <c r="K55" t="str">
        <f t="shared" si="1"/>
        <v/>
      </c>
    </row>
    <row r="56" spans="1:11" ht="25.5" hidden="1" customHeight="1" x14ac:dyDescent="0.25">
      <c r="A56" s="28" t="s">
        <v>97</v>
      </c>
      <c r="B56" s="76" t="s">
        <v>116</v>
      </c>
      <c r="C56" s="77"/>
      <c r="D56" s="43"/>
      <c r="E56" s="13"/>
      <c r="F56" s="13"/>
      <c r="G56" s="13"/>
      <c r="H56" s="4"/>
      <c r="I56" s="21"/>
      <c r="J56" s="20"/>
      <c r="K56" t="str">
        <f t="shared" si="1"/>
        <v/>
      </c>
    </row>
    <row r="57" spans="1:11" ht="15.75" hidden="1" customHeight="1" x14ac:dyDescent="0.25">
      <c r="A57" s="29" t="s">
        <v>117</v>
      </c>
      <c r="B57" s="76" t="s">
        <v>118</v>
      </c>
      <c r="C57" s="77"/>
      <c r="D57" s="51"/>
      <c r="E57" s="52"/>
      <c r="F57" s="52"/>
      <c r="G57" s="52"/>
      <c r="H57" s="26"/>
      <c r="I57" s="26"/>
      <c r="J57" s="52"/>
      <c r="K57" t="str">
        <f t="shared" si="1"/>
        <v/>
      </c>
    </row>
    <row r="58" spans="1:11" ht="15.75" hidden="1" customHeight="1" x14ac:dyDescent="0.25">
      <c r="A58" s="29" t="s">
        <v>119</v>
      </c>
      <c r="B58" s="76" t="s">
        <v>120</v>
      </c>
      <c r="C58" s="77"/>
      <c r="D58" s="43"/>
      <c r="E58" s="13"/>
      <c r="F58" s="13"/>
      <c r="G58" s="13"/>
      <c r="H58" s="4"/>
      <c r="I58" s="21"/>
      <c r="J58" s="20"/>
      <c r="K58" t="str">
        <f t="shared" si="1"/>
        <v/>
      </c>
    </row>
    <row r="59" spans="1:11" hidden="1" x14ac:dyDescent="0.25">
      <c r="A59" s="29" t="s">
        <v>121</v>
      </c>
      <c r="B59" s="76" t="s">
        <v>122</v>
      </c>
      <c r="C59" s="77"/>
      <c r="D59" s="43"/>
      <c r="E59" s="13"/>
      <c r="F59" s="13"/>
      <c r="G59" s="13"/>
      <c r="H59" s="4"/>
      <c r="I59" s="21"/>
      <c r="J59" s="20"/>
      <c r="K59" t="str">
        <f t="shared" si="1"/>
        <v/>
      </c>
    </row>
    <row r="60" spans="1:11" ht="15.75" hidden="1" customHeight="1" x14ac:dyDescent="0.25">
      <c r="A60" s="29" t="s">
        <v>123</v>
      </c>
      <c r="B60" s="76" t="s">
        <v>124</v>
      </c>
      <c r="C60" s="77"/>
      <c r="D60" s="43"/>
      <c r="E60" s="13"/>
      <c r="F60" s="13"/>
      <c r="G60" s="13"/>
      <c r="H60" s="4"/>
      <c r="I60" s="21"/>
      <c r="J60" s="20"/>
      <c r="K60" t="str">
        <f t="shared" si="1"/>
        <v/>
      </c>
    </row>
    <row r="61" spans="1:11" ht="15.75" hidden="1" customHeight="1" x14ac:dyDescent="0.25">
      <c r="A61" s="29" t="s">
        <v>125</v>
      </c>
      <c r="B61" s="76" t="s">
        <v>126</v>
      </c>
      <c r="C61" s="77"/>
      <c r="D61" s="43"/>
      <c r="E61" s="13"/>
      <c r="F61" s="13"/>
      <c r="G61" s="13"/>
      <c r="H61" s="4"/>
      <c r="I61" s="21"/>
      <c r="J61" s="20"/>
      <c r="K61" t="str">
        <f t="shared" si="1"/>
        <v/>
      </c>
    </row>
    <row r="62" spans="1:11" ht="15.75" hidden="1" customHeight="1" x14ac:dyDescent="0.25">
      <c r="A62" s="29" t="s">
        <v>127</v>
      </c>
      <c r="B62" s="76" t="s">
        <v>128</v>
      </c>
      <c r="C62" s="77"/>
      <c r="D62" s="43"/>
      <c r="E62" s="13"/>
      <c r="F62" s="13"/>
      <c r="G62" s="13"/>
      <c r="H62" s="4"/>
      <c r="I62" s="21"/>
      <c r="J62" s="20"/>
      <c r="K62" t="str">
        <f t="shared" si="1"/>
        <v/>
      </c>
    </row>
    <row r="63" spans="1:11" ht="15.75" hidden="1" customHeight="1" x14ac:dyDescent="0.25">
      <c r="A63" s="29" t="s">
        <v>129</v>
      </c>
      <c r="B63" s="76" t="s">
        <v>130</v>
      </c>
      <c r="C63" s="77"/>
      <c r="D63" s="43" t="s">
        <v>131</v>
      </c>
      <c r="E63" s="13"/>
      <c r="F63" s="13"/>
      <c r="G63" s="13"/>
      <c r="H63" s="4"/>
      <c r="I63" s="21"/>
      <c r="J63" s="20"/>
      <c r="K63" t="str">
        <f t="shared" si="1"/>
        <v/>
      </c>
    </row>
    <row r="64" spans="1:11" ht="15.75" hidden="1" customHeight="1" x14ac:dyDescent="0.25">
      <c r="A64" s="29" t="s">
        <v>132</v>
      </c>
      <c r="B64" s="76" t="s">
        <v>133</v>
      </c>
      <c r="C64" s="77"/>
      <c r="D64" s="43"/>
      <c r="E64" s="13"/>
      <c r="F64" s="13"/>
      <c r="G64" s="13"/>
      <c r="H64" s="4"/>
      <c r="I64" s="21"/>
      <c r="J64" s="20"/>
      <c r="K64" t="str">
        <f t="shared" si="1"/>
        <v/>
      </c>
    </row>
    <row r="65" spans="1:11" ht="15.75" customHeight="1" x14ac:dyDescent="0.25">
      <c r="A65" s="96" t="s">
        <v>134</v>
      </c>
      <c r="B65" s="87"/>
      <c r="C65" s="87"/>
      <c r="D65" s="87"/>
      <c r="E65" s="87"/>
      <c r="F65" s="87"/>
      <c r="G65" s="87"/>
      <c r="H65" s="87"/>
      <c r="I65" s="87"/>
      <c r="J65" s="77"/>
      <c r="K65" t="str">
        <f t="shared" si="1"/>
        <v/>
      </c>
    </row>
    <row r="66" spans="1:11" x14ac:dyDescent="0.25">
      <c r="A66" s="95" t="s">
        <v>23</v>
      </c>
      <c r="B66" s="77"/>
      <c r="C66" s="99"/>
      <c r="D66" s="87"/>
      <c r="E66" s="87"/>
      <c r="F66" s="87"/>
      <c r="G66" s="87"/>
      <c r="H66" s="87"/>
      <c r="I66" s="87"/>
      <c r="J66" s="77"/>
      <c r="K66" t="str">
        <f>IF(NOT(COUNTA(F67:F89)),"","Site Plan:")</f>
        <v>Site Plan:</v>
      </c>
    </row>
    <row r="67" spans="1:11" ht="29.25" customHeight="1" x14ac:dyDescent="0.25">
      <c r="A67" s="28" t="s">
        <v>135</v>
      </c>
      <c r="B67" s="76" t="s">
        <v>136</v>
      </c>
      <c r="C67" s="77"/>
      <c r="D67" s="43" t="s">
        <v>28</v>
      </c>
      <c r="E67" s="13" t="s">
        <v>26</v>
      </c>
      <c r="F67" s="13"/>
      <c r="G67" s="13"/>
      <c r="H67" s="4" t="str">
        <f>IF(F67&lt;&gt;"","Name on site plan does not match the customer name listed on Salesforce. Please update so they match.","")</f>
        <v/>
      </c>
      <c r="I67" s="21"/>
      <c r="J67" s="20"/>
      <c r="K67" t="str">
        <f t="shared" ref="K67:K98" si="2">IF(F67&lt;&gt;"",A67&amp;" - "&amp;B67&amp;H67,"")</f>
        <v/>
      </c>
    </row>
    <row r="68" spans="1:11" ht="15.75" customHeight="1" x14ac:dyDescent="0.25">
      <c r="A68" s="28" t="s">
        <v>137</v>
      </c>
      <c r="B68" s="76" t="s">
        <v>138</v>
      </c>
      <c r="C68" s="77"/>
      <c r="D68" s="43" t="s">
        <v>28</v>
      </c>
      <c r="E68" s="13" t="s">
        <v>26</v>
      </c>
      <c r="F68" s="13"/>
      <c r="G68" s="13"/>
      <c r="H68" s="4" t="str">
        <f>IF(F68&lt;&gt;"","Missing, please include.","")</f>
        <v/>
      </c>
      <c r="I68" s="21"/>
      <c r="J68" s="20"/>
      <c r="K68" t="str">
        <f t="shared" si="2"/>
        <v/>
      </c>
    </row>
    <row r="69" spans="1:11" s="33" customFormat="1" ht="15.75" hidden="1" customHeight="1" x14ac:dyDescent="0.25">
      <c r="A69" s="35" t="s">
        <v>139</v>
      </c>
      <c r="B69" s="79" t="s">
        <v>140</v>
      </c>
      <c r="C69" s="77"/>
      <c r="D69" s="44" t="s">
        <v>28</v>
      </c>
      <c r="E69" s="31"/>
      <c r="F69" s="31"/>
      <c r="G69" s="31"/>
      <c r="H69" s="32"/>
      <c r="I69" s="32"/>
      <c r="J69" s="31"/>
      <c r="K69" t="str">
        <f t="shared" si="2"/>
        <v/>
      </c>
    </row>
    <row r="70" spans="1:11" s="33" customFormat="1" ht="15.75" hidden="1" customHeight="1" x14ac:dyDescent="0.25">
      <c r="A70" s="35" t="s">
        <v>141</v>
      </c>
      <c r="B70" s="79" t="s">
        <v>142</v>
      </c>
      <c r="C70" s="77"/>
      <c r="D70" s="44" t="s">
        <v>28</v>
      </c>
      <c r="E70" s="31"/>
      <c r="F70" s="31"/>
      <c r="G70" s="31"/>
      <c r="H70" s="32"/>
      <c r="I70" s="32"/>
      <c r="J70" s="31"/>
      <c r="K70" t="str">
        <f t="shared" si="2"/>
        <v/>
      </c>
    </row>
    <row r="71" spans="1:11" ht="37.5" hidden="1" customHeight="1" x14ac:dyDescent="0.25">
      <c r="A71" s="29" t="s">
        <v>143</v>
      </c>
      <c r="B71" s="76" t="s">
        <v>144</v>
      </c>
      <c r="C71" s="77"/>
      <c r="D71" s="43" t="s">
        <v>28</v>
      </c>
      <c r="E71" s="13"/>
      <c r="F71" s="13"/>
      <c r="G71" s="13"/>
      <c r="H71" s="4"/>
      <c r="I71" s="21"/>
      <c r="J71" s="20"/>
      <c r="K71" t="str">
        <f t="shared" si="2"/>
        <v/>
      </c>
    </row>
    <row r="72" spans="1:11" ht="30" customHeight="1" x14ac:dyDescent="0.25">
      <c r="A72" s="28" t="s">
        <v>145</v>
      </c>
      <c r="B72" s="76" t="s">
        <v>146</v>
      </c>
      <c r="C72" s="77"/>
      <c r="D72" s="43" t="s">
        <v>147</v>
      </c>
      <c r="E72" s="13" t="s">
        <v>26</v>
      </c>
      <c r="F72" s="13"/>
      <c r="G72" s="13"/>
      <c r="H72" s="4" t="str">
        <f>IF(F72&lt;&gt;"","At a minimum, a phone number or email address must be included for contact information.","")</f>
        <v/>
      </c>
      <c r="I72" s="21"/>
      <c r="J72" s="20"/>
      <c r="K72" t="str">
        <f t="shared" si="2"/>
        <v/>
      </c>
    </row>
    <row r="73" spans="1:11" ht="15.75" customHeight="1" x14ac:dyDescent="0.25">
      <c r="A73" s="28" t="s">
        <v>148</v>
      </c>
      <c r="B73" s="76" t="s">
        <v>149</v>
      </c>
      <c r="C73" s="77"/>
      <c r="D73" s="43" t="s">
        <v>28</v>
      </c>
      <c r="E73" s="13" t="s">
        <v>26</v>
      </c>
      <c r="F73" s="13"/>
      <c r="G73" s="13"/>
      <c r="H73" s="4" t="str">
        <f>IF(F73&lt;&gt;"","Missing, please include. Failure to include case numbers in future applications may lead to rejection.","")</f>
        <v/>
      </c>
      <c r="I73" s="21"/>
      <c r="J73" s="20"/>
      <c r="K73" t="str">
        <f t="shared" si="2"/>
        <v/>
      </c>
    </row>
    <row r="74" spans="1:11" ht="15.75" customHeight="1" x14ac:dyDescent="0.25">
      <c r="A74" s="28" t="s">
        <v>150</v>
      </c>
      <c r="B74" s="76" t="s">
        <v>151</v>
      </c>
      <c r="C74" s="77"/>
      <c r="E74" s="13" t="s">
        <v>26</v>
      </c>
      <c r="F74" s="13"/>
      <c r="G74" s="13"/>
      <c r="H74" s="45" t="str">
        <f>IF(F74&lt;&gt;"", "No streets are shown. Please include and label.","")</f>
        <v/>
      </c>
      <c r="I74" s="21"/>
      <c r="J74" s="20"/>
      <c r="K74" t="str">
        <f t="shared" si="2"/>
        <v/>
      </c>
    </row>
    <row r="75" spans="1:11" ht="36.75" customHeight="1" x14ac:dyDescent="0.25">
      <c r="A75" s="29" t="s">
        <v>152</v>
      </c>
      <c r="B75" s="76" t="s">
        <v>153</v>
      </c>
      <c r="C75" s="77"/>
      <c r="D75" s="43" t="s">
        <v>154</v>
      </c>
      <c r="E75" s="13" t="s">
        <v>26</v>
      </c>
      <c r="F75" s="13"/>
      <c r="G75" s="13"/>
      <c r="H75" s="4" t="str">
        <f>IF(F75&lt;&gt;"","Missing, please include with name, distance, and direction to nearest cross street if one is not shown.","")</f>
        <v/>
      </c>
      <c r="I75" s="21"/>
      <c r="J75" s="20"/>
      <c r="K75" t="str">
        <f t="shared" si="2"/>
        <v/>
      </c>
    </row>
    <row r="76" spans="1:11" ht="15.75" customHeight="1" x14ac:dyDescent="0.25">
      <c r="A76" s="28" t="s">
        <v>155</v>
      </c>
      <c r="B76" s="76" t="s">
        <v>156</v>
      </c>
      <c r="C76" s="77"/>
      <c r="D76" s="43"/>
      <c r="E76" s="13" t="s">
        <v>26</v>
      </c>
      <c r="F76" s="13"/>
      <c r="G76" s="13"/>
      <c r="H76" s="4" t="str">
        <f>IF(F76&lt;&gt;"","Missing, please include.","")</f>
        <v/>
      </c>
      <c r="I76" s="21"/>
      <c r="J76" s="20"/>
      <c r="K76" t="str">
        <f t="shared" si="2"/>
        <v/>
      </c>
    </row>
    <row r="77" spans="1:11" ht="37.5" hidden="1" customHeight="1" x14ac:dyDescent="0.25">
      <c r="A77" s="28" t="s">
        <v>157</v>
      </c>
      <c r="B77" s="76" t="s">
        <v>158</v>
      </c>
      <c r="C77" s="77"/>
      <c r="D77" s="43" t="s">
        <v>159</v>
      </c>
      <c r="E77" s="13"/>
      <c r="F77" s="13"/>
      <c r="G77" s="13"/>
      <c r="H77" s="4"/>
      <c r="I77" s="21"/>
      <c r="J77" s="20"/>
      <c r="K77" t="str">
        <f t="shared" si="2"/>
        <v/>
      </c>
    </row>
    <row r="78" spans="1:11" ht="15.75" hidden="1" customHeight="1" x14ac:dyDescent="0.25">
      <c r="A78" s="29" t="s">
        <v>160</v>
      </c>
      <c r="B78" s="76" t="s">
        <v>161</v>
      </c>
      <c r="C78" s="77"/>
      <c r="D78" s="43" t="s">
        <v>162</v>
      </c>
      <c r="E78" s="13"/>
      <c r="F78" s="13"/>
      <c r="G78" s="13"/>
      <c r="H78" s="4"/>
      <c r="I78" s="21"/>
      <c r="J78" s="20"/>
      <c r="K78" t="str">
        <f t="shared" si="2"/>
        <v/>
      </c>
    </row>
    <row r="79" spans="1:11" ht="15.75" hidden="1" customHeight="1" x14ac:dyDescent="0.25">
      <c r="A79" s="29" t="s">
        <v>163</v>
      </c>
      <c r="B79" s="76" t="s">
        <v>164</v>
      </c>
      <c r="C79" s="77"/>
      <c r="D79" s="43"/>
      <c r="E79" s="13"/>
      <c r="F79" s="13"/>
      <c r="G79" s="13"/>
      <c r="H79" s="4"/>
      <c r="I79" s="21"/>
      <c r="J79" s="20"/>
      <c r="K79" t="str">
        <f t="shared" si="2"/>
        <v/>
      </c>
    </row>
    <row r="80" spans="1:11" ht="21.75" customHeight="1" x14ac:dyDescent="0.25">
      <c r="A80" s="95" t="s">
        <v>34</v>
      </c>
      <c r="B80" s="77"/>
      <c r="C80" s="99"/>
      <c r="D80" s="87"/>
      <c r="E80" s="87"/>
      <c r="F80" s="87"/>
      <c r="G80" s="87"/>
      <c r="H80" s="87"/>
      <c r="I80" s="87"/>
      <c r="J80" s="77"/>
      <c r="K80" t="str">
        <f t="shared" si="2"/>
        <v/>
      </c>
    </row>
    <row r="81" spans="1:11" ht="51" customHeight="1" x14ac:dyDescent="0.25">
      <c r="A81" s="73" t="s">
        <v>157</v>
      </c>
      <c r="B81" s="76" t="s">
        <v>165</v>
      </c>
      <c r="C81" s="77"/>
      <c r="D81" s="72" t="s">
        <v>166</v>
      </c>
      <c r="E81" s="13" t="s">
        <v>26</v>
      </c>
      <c r="F81" s="13"/>
      <c r="G81" s="13"/>
      <c r="H81" s="4" t="str">
        <f>IF(AND(F81&lt;&gt;"",G39&lt;&gt;""),"Please remove all notes referencing a production meter.",IF(AND(F81&lt;&gt;"",F39&lt;&gt;""),"If production meter is removed from oneline, please also remove it (and all associated notes) from the site plan.",""))</f>
        <v/>
      </c>
      <c r="I81" s="21"/>
      <c r="J81" s="20"/>
      <c r="K81" t="str">
        <f t="shared" si="2"/>
        <v/>
      </c>
    </row>
    <row r="82" spans="1:11" ht="46.5" customHeight="1" x14ac:dyDescent="0.25">
      <c r="A82" s="29" t="s">
        <v>160</v>
      </c>
      <c r="B82" s="76" t="s">
        <v>167</v>
      </c>
      <c r="C82" s="77"/>
      <c r="D82" s="43" t="s">
        <v>168</v>
      </c>
      <c r="E82" s="13"/>
      <c r="F82" s="13" t="s">
        <v>26</v>
      </c>
      <c r="G82" s="13"/>
      <c r="H82" s="4" t="str">
        <f>IF(AND(F82&lt;&gt;"",G39&lt;&gt;""),"Distance must be noted between at least the main service meter and utility AC disconnect.",IF(AND(F82&lt;&gt;"",F39&lt;&gt;""),"Distance must be noted between at least the main service meter, utility AC disconnect, and production meter. If the production meter is removed, then only the distance between the main service meter and utility AC disconnect must be noted.",IF(AND(F82&lt;&gt;"",E39&lt;&gt;""),"Distance must be noted between at least the main service meter, utility AC disconnect, and production meter.","")))</f>
        <v>Distance must be noted between at least the main service meter, utility AC disconnect, and production meter.</v>
      </c>
      <c r="I82" s="21"/>
      <c r="J82" s="20"/>
      <c r="K82" t="str">
        <f t="shared" si="2"/>
        <v>4.7.1 - Distance shall be noted between this equipment. Distance must be noted between at least the main service meter, utility AC disconnect, and production meter.</v>
      </c>
    </row>
    <row r="83" spans="1:11" ht="27.75" hidden="1" customHeight="1" x14ac:dyDescent="0.25">
      <c r="A83" s="50" t="s">
        <v>169</v>
      </c>
      <c r="B83" s="98" t="s">
        <v>170</v>
      </c>
      <c r="C83" s="77"/>
      <c r="D83" s="51" t="s">
        <v>171</v>
      </c>
      <c r="E83" s="52"/>
      <c r="F83" s="52"/>
      <c r="G83" s="52"/>
      <c r="H83" s="26" t="s">
        <v>172</v>
      </c>
      <c r="I83" s="26"/>
      <c r="J83" s="52"/>
      <c r="K83" t="str">
        <f t="shared" si="2"/>
        <v/>
      </c>
    </row>
    <row r="84" spans="1:11" ht="36" hidden="1" customHeight="1" x14ac:dyDescent="0.25">
      <c r="A84" s="29" t="s">
        <v>173</v>
      </c>
      <c r="B84" s="76" t="s">
        <v>174</v>
      </c>
      <c r="C84" s="77"/>
      <c r="D84" s="43" t="s">
        <v>175</v>
      </c>
      <c r="E84" s="13"/>
      <c r="F84" s="13"/>
      <c r="G84" s="13"/>
      <c r="H84" s="4"/>
      <c r="I84" s="21"/>
      <c r="J84" s="20"/>
      <c r="K84" t="str">
        <f t="shared" si="2"/>
        <v/>
      </c>
    </row>
    <row r="85" spans="1:11" ht="27.75" customHeight="1" x14ac:dyDescent="0.25">
      <c r="A85" s="28" t="s">
        <v>176</v>
      </c>
      <c r="B85" s="76" t="s">
        <v>177</v>
      </c>
      <c r="C85" s="77"/>
      <c r="D85" s="43" t="s">
        <v>178</v>
      </c>
      <c r="E85" s="13" t="s">
        <v>26</v>
      </c>
      <c r="F85" s="13"/>
      <c r="G85" s="13"/>
      <c r="H85" s="4"/>
      <c r="I85" s="21"/>
      <c r="J85" s="20"/>
      <c r="K85" t="str">
        <f t="shared" si="2"/>
        <v/>
      </c>
    </row>
    <row r="86" spans="1:11" ht="39" customHeight="1" x14ac:dyDescent="0.25">
      <c r="A86" s="29" t="s">
        <v>179</v>
      </c>
      <c r="B86" s="76" t="s">
        <v>180</v>
      </c>
      <c r="C86" s="77"/>
      <c r="D86" s="43" t="s">
        <v>181</v>
      </c>
      <c r="E86" s="13" t="s">
        <v>26</v>
      </c>
      <c r="F86" s="13"/>
      <c r="G86" s="13"/>
      <c r="H86" s="4" t="str">
        <f>IF(F86&lt;&gt;"","Site plan indicates a distance greater than 10 feet. Either include a label showing the position of the utility AC disconnect or at a minimum include a note stating that such a label will be included at the main service meter.","")</f>
        <v/>
      </c>
      <c r="I86" s="21"/>
      <c r="J86" s="20"/>
      <c r="K86" t="str">
        <f t="shared" si="2"/>
        <v/>
      </c>
    </row>
    <row r="87" spans="1:11" ht="30.75" customHeight="1" x14ac:dyDescent="0.25">
      <c r="A87" s="28" t="s">
        <v>182</v>
      </c>
      <c r="B87" s="76" t="s">
        <v>183</v>
      </c>
      <c r="C87" s="77"/>
      <c r="D87" s="43"/>
      <c r="E87" s="13" t="s">
        <v>26</v>
      </c>
      <c r="F87" s="13"/>
      <c r="G87" s="13"/>
      <c r="H87" s="4" t="str" cm="1">
        <f t="array" ref="H87">_xlfn.IFS(F87="CA","Please ensure access is described as '24/7, unescorted, and keyless.'",OR(F87="x",F87="X"),"Missing a note stating this. Please include.",F87="","")</f>
        <v/>
      </c>
      <c r="I87" s="21"/>
      <c r="J87" s="20"/>
      <c r="K87" t="str">
        <f t="shared" si="2"/>
        <v/>
      </c>
    </row>
    <row r="88" spans="1:11" ht="45.75" customHeight="1" x14ac:dyDescent="0.25">
      <c r="A88" s="28" t="s">
        <v>184</v>
      </c>
      <c r="B88" s="76" t="s">
        <v>185</v>
      </c>
      <c r="C88" s="77"/>
      <c r="D88" s="43"/>
      <c r="E88" s="13" t="s">
        <v>26</v>
      </c>
      <c r="F88" s="13"/>
      <c r="G88" s="13"/>
      <c r="H88" s="4" t="str">
        <f>IF(F88&lt;&gt;"","Please note all position, distance, and clearance concerns, if any, or include a note stating there are no clearance concerns when none exist.","")</f>
        <v/>
      </c>
      <c r="I88" s="21"/>
      <c r="J88" s="20"/>
      <c r="K88" t="str">
        <f t="shared" si="2"/>
        <v/>
      </c>
    </row>
    <row r="89" spans="1:11" ht="39.75" customHeight="1" x14ac:dyDescent="0.25">
      <c r="A89" s="28" t="s">
        <v>186</v>
      </c>
      <c r="B89" s="76" t="s">
        <v>187</v>
      </c>
      <c r="C89" s="77"/>
      <c r="D89" s="43" t="s">
        <v>188</v>
      </c>
      <c r="E89" s="13" t="s">
        <v>26</v>
      </c>
      <c r="F89" s="13"/>
      <c r="G89" s="13"/>
      <c r="H89" s="4"/>
      <c r="I89" s="21"/>
      <c r="J89" s="20"/>
      <c r="K89" t="str">
        <f t="shared" si="2"/>
        <v/>
      </c>
    </row>
    <row r="90" spans="1:11" ht="15.75" hidden="1" customHeight="1" x14ac:dyDescent="0.25">
      <c r="A90" s="96" t="s">
        <v>189</v>
      </c>
      <c r="B90" s="87"/>
      <c r="C90" s="87"/>
      <c r="D90" s="87"/>
      <c r="E90" s="87"/>
      <c r="F90" s="87"/>
      <c r="G90" s="87"/>
      <c r="H90" s="87"/>
      <c r="I90" s="87"/>
      <c r="J90" s="77"/>
      <c r="K90" t="str">
        <f t="shared" si="2"/>
        <v/>
      </c>
    </row>
    <row r="91" spans="1:11" ht="15.75" hidden="1" customHeight="1" x14ac:dyDescent="0.25">
      <c r="A91" s="28" t="s">
        <v>190</v>
      </c>
      <c r="B91" s="76" t="s">
        <v>191</v>
      </c>
      <c r="C91" s="77"/>
      <c r="D91" s="43"/>
      <c r="E91" s="13"/>
      <c r="F91" s="13"/>
      <c r="G91" s="13"/>
      <c r="H91" s="4"/>
      <c r="I91" s="21"/>
      <c r="J91" s="20"/>
      <c r="K91" t="str">
        <f t="shared" si="2"/>
        <v/>
      </c>
    </row>
    <row r="92" spans="1:11" ht="15.75" hidden="1" customHeight="1" x14ac:dyDescent="0.25">
      <c r="A92" s="28" t="s">
        <v>192</v>
      </c>
      <c r="B92" s="76" t="s">
        <v>193</v>
      </c>
      <c r="C92" s="77"/>
      <c r="D92" s="43"/>
      <c r="E92" s="13"/>
      <c r="F92" s="13"/>
      <c r="G92" s="13"/>
      <c r="H92" s="4"/>
      <c r="I92" s="21"/>
      <c r="J92" s="20"/>
      <c r="K92" t="str">
        <f t="shared" si="2"/>
        <v/>
      </c>
    </row>
    <row r="93" spans="1:11" ht="34.5" hidden="1" customHeight="1" x14ac:dyDescent="0.25">
      <c r="A93" s="28" t="s">
        <v>194</v>
      </c>
      <c r="B93" s="76" t="s">
        <v>195</v>
      </c>
      <c r="C93" s="77"/>
      <c r="D93" s="43" t="s">
        <v>196</v>
      </c>
      <c r="E93" s="13"/>
      <c r="F93" s="13"/>
      <c r="G93" s="13"/>
      <c r="H93" s="4"/>
      <c r="I93" s="21"/>
      <c r="J93" s="20"/>
      <c r="K93" t="str">
        <f t="shared" si="2"/>
        <v/>
      </c>
    </row>
    <row r="94" spans="1:11" ht="27" hidden="1" customHeight="1" x14ac:dyDescent="0.25">
      <c r="A94" s="29" t="s">
        <v>197</v>
      </c>
      <c r="B94" s="76" t="s">
        <v>198</v>
      </c>
      <c r="C94" s="77"/>
      <c r="D94" s="43"/>
      <c r="E94" s="13"/>
      <c r="F94" s="13"/>
      <c r="G94" s="13"/>
      <c r="H94" s="4"/>
      <c r="I94" s="21"/>
      <c r="J94" s="20"/>
      <c r="K94" t="str">
        <f t="shared" si="2"/>
        <v/>
      </c>
    </row>
    <row r="95" spans="1:11" ht="15.75" hidden="1" customHeight="1" x14ac:dyDescent="0.25">
      <c r="A95" s="28" t="s">
        <v>199</v>
      </c>
      <c r="B95" s="76" t="s">
        <v>200</v>
      </c>
      <c r="C95" s="77"/>
      <c r="D95" s="43" t="s">
        <v>201</v>
      </c>
      <c r="E95" s="13"/>
      <c r="F95" s="13"/>
      <c r="G95" s="13"/>
      <c r="H95" s="4"/>
      <c r="I95" s="21"/>
      <c r="J95" s="20"/>
      <c r="K95" t="str">
        <f t="shared" si="2"/>
        <v/>
      </c>
    </row>
    <row r="96" spans="1:11" ht="48.75" hidden="1" customHeight="1" x14ac:dyDescent="0.25">
      <c r="A96" s="29" t="s">
        <v>202</v>
      </c>
      <c r="B96" s="76" t="s">
        <v>203</v>
      </c>
      <c r="C96" s="77"/>
      <c r="D96" s="43"/>
      <c r="E96" s="13"/>
      <c r="F96" s="13"/>
      <c r="G96" s="13"/>
      <c r="H96" s="4"/>
      <c r="I96" s="21"/>
      <c r="J96" s="20"/>
      <c r="K96" t="str">
        <f t="shared" si="2"/>
        <v/>
      </c>
    </row>
    <row r="97" spans="1:11" ht="3" hidden="1" customHeight="1" x14ac:dyDescent="0.25">
      <c r="A97" s="28" t="s">
        <v>204</v>
      </c>
      <c r="B97" s="76" t="s">
        <v>205</v>
      </c>
      <c r="C97" s="77"/>
      <c r="D97" s="43"/>
      <c r="E97" s="13"/>
      <c r="F97" s="13"/>
      <c r="G97" s="13"/>
      <c r="H97" s="4"/>
      <c r="I97" s="21"/>
      <c r="J97" s="20"/>
      <c r="K97" t="str">
        <f t="shared" si="2"/>
        <v/>
      </c>
    </row>
    <row r="98" spans="1:11" ht="15.75" customHeight="1" x14ac:dyDescent="0.25">
      <c r="A98" s="96" t="s">
        <v>206</v>
      </c>
      <c r="B98" s="87"/>
      <c r="C98" s="87"/>
      <c r="D98" s="87"/>
      <c r="E98" s="87"/>
      <c r="F98" s="87"/>
      <c r="G98" s="87"/>
      <c r="H98" s="87"/>
      <c r="I98" s="87"/>
      <c r="J98" s="77"/>
      <c r="K98" t="str">
        <f t="shared" si="2"/>
        <v/>
      </c>
    </row>
    <row r="99" spans="1:11" hidden="1" x14ac:dyDescent="0.25">
      <c r="A99" s="95" t="s">
        <v>23</v>
      </c>
      <c r="B99" s="77"/>
      <c r="C99" s="97" t="s">
        <v>207</v>
      </c>
      <c r="D99" s="87"/>
      <c r="E99" s="87"/>
      <c r="F99" s="87"/>
      <c r="G99" s="87"/>
      <c r="H99" s="87"/>
      <c r="I99" s="87"/>
      <c r="J99" s="77"/>
      <c r="K99" t="str">
        <f t="shared" ref="K99:K130" si="3">IF(F99&lt;&gt;"",A99&amp;" - "&amp;B99&amp;H99,"")</f>
        <v/>
      </c>
    </row>
    <row r="100" spans="1:11" hidden="1" x14ac:dyDescent="0.25">
      <c r="A100" s="28" t="s">
        <v>208</v>
      </c>
      <c r="B100" s="76" t="s">
        <v>209</v>
      </c>
      <c r="C100" s="77"/>
      <c r="D100" s="43" t="s">
        <v>28</v>
      </c>
      <c r="E100" s="13"/>
      <c r="F100" s="13"/>
      <c r="G100" s="13"/>
      <c r="H100" s="4"/>
      <c r="I100" s="21"/>
      <c r="J100" s="20"/>
      <c r="K100" t="str">
        <f t="shared" si="3"/>
        <v/>
      </c>
    </row>
    <row r="101" spans="1:11" hidden="1" x14ac:dyDescent="0.25">
      <c r="A101" s="28" t="s">
        <v>210</v>
      </c>
      <c r="B101" s="76" t="s">
        <v>211</v>
      </c>
      <c r="C101" s="77"/>
      <c r="D101" s="43" t="s">
        <v>28</v>
      </c>
      <c r="E101" s="13"/>
      <c r="F101" s="13"/>
      <c r="G101" s="13"/>
      <c r="H101" s="4"/>
      <c r="I101" s="21"/>
      <c r="J101" s="20"/>
      <c r="K101" t="str">
        <f t="shared" si="3"/>
        <v/>
      </c>
    </row>
    <row r="102" spans="1:11" hidden="1" x14ac:dyDescent="0.25">
      <c r="A102" s="29" t="s">
        <v>212</v>
      </c>
      <c r="B102" s="76" t="s">
        <v>213</v>
      </c>
      <c r="C102" s="77"/>
      <c r="D102" s="43" t="s">
        <v>28</v>
      </c>
      <c r="E102" s="13"/>
      <c r="F102" s="13"/>
      <c r="G102" s="13"/>
      <c r="H102" s="4"/>
      <c r="I102" s="21"/>
      <c r="J102" s="20"/>
      <c r="K102" t="str">
        <f t="shared" si="3"/>
        <v/>
      </c>
    </row>
    <row r="103" spans="1:11" hidden="1" x14ac:dyDescent="0.25">
      <c r="A103" s="28" t="s">
        <v>214</v>
      </c>
      <c r="B103" s="76" t="s">
        <v>215</v>
      </c>
      <c r="C103" s="77"/>
      <c r="D103" s="43" t="s">
        <v>28</v>
      </c>
      <c r="E103" s="13"/>
      <c r="F103" s="13"/>
      <c r="G103" s="13"/>
      <c r="H103" s="4"/>
      <c r="I103" s="21"/>
      <c r="J103" s="20"/>
      <c r="K103" t="str">
        <f t="shared" si="3"/>
        <v/>
      </c>
    </row>
    <row r="104" spans="1:11" hidden="1" x14ac:dyDescent="0.25">
      <c r="A104" s="28" t="s">
        <v>216</v>
      </c>
      <c r="B104" s="76" t="s">
        <v>217</v>
      </c>
      <c r="C104" s="77"/>
      <c r="D104" s="43"/>
      <c r="E104" s="13"/>
      <c r="F104" s="13"/>
      <c r="G104" s="13"/>
      <c r="H104" s="4"/>
      <c r="I104" s="21"/>
      <c r="J104" s="20"/>
      <c r="K104" t="str">
        <f t="shared" si="3"/>
        <v/>
      </c>
    </row>
    <row r="105" spans="1:11" ht="28.5" hidden="1" customHeight="1" x14ac:dyDescent="0.25">
      <c r="A105" s="28" t="s">
        <v>218</v>
      </c>
      <c r="B105" s="76" t="s">
        <v>219</v>
      </c>
      <c r="C105" s="77"/>
      <c r="D105" s="43" t="s">
        <v>220</v>
      </c>
      <c r="E105" s="13"/>
      <c r="F105" s="13"/>
      <c r="G105" s="13"/>
      <c r="H105" s="4"/>
      <c r="I105" s="21"/>
      <c r="J105" s="20"/>
      <c r="K105" t="str">
        <f t="shared" si="3"/>
        <v/>
      </c>
    </row>
    <row r="106" spans="1:11" ht="16.5" hidden="1" customHeight="1" x14ac:dyDescent="0.25">
      <c r="A106" s="28" t="s">
        <v>221</v>
      </c>
      <c r="B106" s="76" t="s">
        <v>222</v>
      </c>
      <c r="C106" s="77"/>
      <c r="D106" s="51"/>
      <c r="E106" s="52"/>
      <c r="F106" s="52"/>
      <c r="G106" s="52"/>
      <c r="H106" s="26"/>
      <c r="I106" s="26"/>
      <c r="J106" s="52"/>
      <c r="K106" t="str">
        <f t="shared" si="3"/>
        <v/>
      </c>
    </row>
    <row r="107" spans="1:11" hidden="1" x14ac:dyDescent="0.25">
      <c r="A107" s="29" t="s">
        <v>223</v>
      </c>
      <c r="B107" s="76" t="s">
        <v>224</v>
      </c>
      <c r="C107" s="77"/>
      <c r="D107" s="43" t="s">
        <v>225</v>
      </c>
      <c r="E107" s="13"/>
      <c r="F107" s="13"/>
      <c r="G107" s="13"/>
      <c r="H107" s="4"/>
      <c r="I107" s="21"/>
      <c r="J107" s="20"/>
      <c r="K107" t="str">
        <f t="shared" si="3"/>
        <v/>
      </c>
    </row>
    <row r="108" spans="1:11" ht="42.75" hidden="1" customHeight="1" x14ac:dyDescent="0.25">
      <c r="A108" s="29" t="s">
        <v>226</v>
      </c>
      <c r="B108" s="76" t="s">
        <v>227</v>
      </c>
      <c r="C108" s="77"/>
      <c r="D108" s="43" t="s">
        <v>228</v>
      </c>
      <c r="E108" s="13"/>
      <c r="F108" s="13"/>
      <c r="G108" s="13"/>
      <c r="H108" s="4"/>
      <c r="I108" s="21"/>
      <c r="J108" s="20"/>
      <c r="K108" t="str">
        <f t="shared" si="3"/>
        <v/>
      </c>
    </row>
    <row r="109" spans="1:11" ht="57.75" hidden="1" customHeight="1" x14ac:dyDescent="0.25">
      <c r="A109" s="29" t="s">
        <v>229</v>
      </c>
      <c r="B109" s="76" t="s">
        <v>230</v>
      </c>
      <c r="C109" s="77"/>
      <c r="D109" s="43" t="s">
        <v>231</v>
      </c>
      <c r="E109" s="13"/>
      <c r="F109" s="13"/>
      <c r="G109" s="13"/>
      <c r="H109" s="4"/>
      <c r="I109" s="21"/>
      <c r="J109" s="20"/>
      <c r="K109" t="str">
        <f t="shared" si="3"/>
        <v/>
      </c>
    </row>
    <row r="110" spans="1:11" ht="35.25" hidden="1" customHeight="1" x14ac:dyDescent="0.25">
      <c r="A110" s="29" t="s">
        <v>232</v>
      </c>
      <c r="B110" s="76" t="s">
        <v>233</v>
      </c>
      <c r="C110" s="77"/>
      <c r="D110" s="43"/>
      <c r="E110" s="13"/>
      <c r="F110" s="13"/>
      <c r="G110" s="13"/>
      <c r="H110" s="4"/>
      <c r="I110" s="21"/>
      <c r="J110" s="20"/>
      <c r="K110" t="str">
        <f t="shared" si="3"/>
        <v/>
      </c>
    </row>
    <row r="111" spans="1:11" hidden="1" x14ac:dyDescent="0.25">
      <c r="A111" s="29" t="s">
        <v>234</v>
      </c>
      <c r="B111" s="76" t="s">
        <v>235</v>
      </c>
      <c r="C111" s="77"/>
      <c r="D111" s="43" t="s">
        <v>236</v>
      </c>
      <c r="E111" s="13"/>
      <c r="F111" s="13"/>
      <c r="G111" s="13"/>
      <c r="H111" s="4"/>
      <c r="I111" s="21"/>
      <c r="J111" s="20"/>
      <c r="K111" t="str">
        <f t="shared" si="3"/>
        <v/>
      </c>
    </row>
    <row r="112" spans="1:11" hidden="1" x14ac:dyDescent="0.25">
      <c r="A112" s="29" t="s">
        <v>237</v>
      </c>
      <c r="B112" s="76" t="s">
        <v>238</v>
      </c>
      <c r="C112" s="77"/>
      <c r="D112" s="43" t="s">
        <v>239</v>
      </c>
      <c r="E112" s="13"/>
      <c r="F112" s="13"/>
      <c r="G112" s="13"/>
      <c r="H112" s="4"/>
      <c r="I112" s="21"/>
      <c r="J112" s="20"/>
      <c r="K112" t="str">
        <f t="shared" si="3"/>
        <v/>
      </c>
    </row>
    <row r="113" spans="1:11" hidden="1" x14ac:dyDescent="0.25">
      <c r="A113" s="29" t="s">
        <v>240</v>
      </c>
      <c r="B113" s="76" t="s">
        <v>241</v>
      </c>
      <c r="C113" s="77"/>
      <c r="D113" s="43"/>
      <c r="E113" s="13"/>
      <c r="F113" s="13"/>
      <c r="G113" s="13"/>
      <c r="H113" s="4"/>
      <c r="I113" s="21"/>
      <c r="J113" s="20"/>
      <c r="K113" t="str">
        <f t="shared" si="3"/>
        <v/>
      </c>
    </row>
    <row r="114" spans="1:11" ht="33.75" hidden="1" customHeight="1" x14ac:dyDescent="0.25">
      <c r="A114" s="29" t="s">
        <v>242</v>
      </c>
      <c r="B114" s="76" t="s">
        <v>243</v>
      </c>
      <c r="C114" s="77"/>
      <c r="D114" s="43" t="s">
        <v>244</v>
      </c>
      <c r="E114" s="13"/>
      <c r="F114" s="13"/>
      <c r="G114" s="13"/>
      <c r="H114" s="4"/>
      <c r="I114" s="21"/>
      <c r="J114" s="20"/>
      <c r="K114" t="str">
        <f t="shared" si="3"/>
        <v/>
      </c>
    </row>
    <row r="115" spans="1:11" ht="32.25" hidden="1" customHeight="1" x14ac:dyDescent="0.25">
      <c r="A115" s="29" t="s">
        <v>245</v>
      </c>
      <c r="B115" s="76" t="s">
        <v>246</v>
      </c>
      <c r="C115" s="77"/>
      <c r="D115" s="43" t="s">
        <v>247</v>
      </c>
      <c r="E115" s="13"/>
      <c r="F115" s="13"/>
      <c r="G115" s="13"/>
      <c r="H115" s="4"/>
      <c r="I115" s="21"/>
      <c r="J115" s="20"/>
      <c r="K115" t="str">
        <f t="shared" si="3"/>
        <v/>
      </c>
    </row>
    <row r="116" spans="1:11" ht="27" hidden="1" customHeight="1" x14ac:dyDescent="0.25">
      <c r="A116" s="29" t="s">
        <v>248</v>
      </c>
      <c r="B116" s="76" t="s">
        <v>249</v>
      </c>
      <c r="C116" s="77"/>
      <c r="D116" s="43"/>
      <c r="E116" s="13"/>
      <c r="F116" s="13"/>
      <c r="G116" s="13"/>
      <c r="H116" s="4"/>
      <c r="I116" s="21"/>
      <c r="J116" s="20"/>
      <c r="K116" t="str">
        <f t="shared" si="3"/>
        <v/>
      </c>
    </row>
    <row r="117" spans="1:11" hidden="1" x14ac:dyDescent="0.25">
      <c r="A117" s="28" t="s">
        <v>250</v>
      </c>
      <c r="B117" s="76" t="s">
        <v>251</v>
      </c>
      <c r="C117" s="77"/>
      <c r="D117" s="43"/>
      <c r="E117" s="13"/>
      <c r="F117" s="13"/>
      <c r="G117" s="13"/>
      <c r="H117" s="4"/>
      <c r="I117" s="21"/>
      <c r="J117" s="20"/>
      <c r="K117" t="str">
        <f t="shared" si="3"/>
        <v/>
      </c>
    </row>
    <row r="118" spans="1:11" hidden="1" x14ac:dyDescent="0.25">
      <c r="A118" s="28" t="s">
        <v>252</v>
      </c>
      <c r="B118" s="76" t="s">
        <v>253</v>
      </c>
      <c r="C118" s="77"/>
      <c r="D118" s="43"/>
      <c r="E118" s="13"/>
      <c r="F118" s="13"/>
      <c r="G118" s="13"/>
      <c r="H118" s="4"/>
      <c r="I118" s="21"/>
      <c r="J118" s="20"/>
      <c r="K118" t="str">
        <f t="shared" si="3"/>
        <v/>
      </c>
    </row>
    <row r="119" spans="1:11" ht="26.25" hidden="1" customHeight="1" x14ac:dyDescent="0.25">
      <c r="A119" s="28" t="s">
        <v>254</v>
      </c>
      <c r="B119" s="76" t="s">
        <v>255</v>
      </c>
      <c r="C119" s="77"/>
      <c r="D119" s="43"/>
      <c r="E119" s="13"/>
      <c r="F119" s="13"/>
      <c r="G119" s="13"/>
      <c r="H119" s="4"/>
      <c r="I119" s="21"/>
      <c r="J119" s="20"/>
      <c r="K119" t="str">
        <f t="shared" si="3"/>
        <v/>
      </c>
    </row>
    <row r="120" spans="1:11" ht="24" hidden="1" customHeight="1" x14ac:dyDescent="0.25">
      <c r="A120" s="95" t="s">
        <v>256</v>
      </c>
      <c r="B120" s="77"/>
      <c r="C120" s="99"/>
      <c r="D120" s="87"/>
      <c r="E120" s="87"/>
      <c r="F120" s="87"/>
      <c r="G120" s="87"/>
      <c r="H120" s="87"/>
      <c r="I120" s="87"/>
      <c r="J120" s="77"/>
      <c r="K120" t="str">
        <f t="shared" si="3"/>
        <v/>
      </c>
    </row>
    <row r="121" spans="1:11" ht="27" hidden="1" customHeight="1" x14ac:dyDescent="0.25">
      <c r="A121" s="28" t="s">
        <v>257</v>
      </c>
      <c r="B121" s="76" t="s">
        <v>258</v>
      </c>
      <c r="C121" s="77"/>
      <c r="D121" s="43"/>
      <c r="E121" s="13"/>
      <c r="F121" s="13"/>
      <c r="G121" s="13"/>
      <c r="H121" s="4"/>
      <c r="I121" s="21"/>
      <c r="J121" s="20"/>
      <c r="K121" t="str">
        <f t="shared" si="3"/>
        <v/>
      </c>
    </row>
    <row r="122" spans="1:11" ht="31.5" hidden="1" customHeight="1" x14ac:dyDescent="0.25">
      <c r="A122" s="29" t="s">
        <v>259</v>
      </c>
      <c r="B122" s="76" t="s">
        <v>260</v>
      </c>
      <c r="C122" s="77"/>
      <c r="D122" s="43"/>
      <c r="E122" s="13"/>
      <c r="F122" s="13"/>
      <c r="G122" s="13"/>
      <c r="H122" s="4"/>
      <c r="I122" s="21"/>
      <c r="J122" s="20"/>
      <c r="K122" t="str">
        <f t="shared" si="3"/>
        <v/>
      </c>
    </row>
    <row r="123" spans="1:11" ht="76.5" hidden="1" customHeight="1" x14ac:dyDescent="0.25">
      <c r="A123" s="29" t="s">
        <v>261</v>
      </c>
      <c r="B123" s="76" t="s">
        <v>262</v>
      </c>
      <c r="C123" s="77"/>
      <c r="D123" s="43"/>
      <c r="E123" s="13"/>
      <c r="F123" s="13"/>
      <c r="G123" s="13"/>
      <c r="H123" s="4"/>
      <c r="I123" s="21"/>
      <c r="J123" s="20"/>
      <c r="K123" t="str">
        <f t="shared" si="3"/>
        <v/>
      </c>
    </row>
    <row r="124" spans="1:11" ht="29.25" hidden="1" customHeight="1" x14ac:dyDescent="0.25">
      <c r="A124" s="28" t="s">
        <v>263</v>
      </c>
      <c r="B124" s="76" t="s">
        <v>264</v>
      </c>
      <c r="C124" s="77"/>
      <c r="D124" s="43"/>
      <c r="E124" s="13"/>
      <c r="F124" s="13"/>
      <c r="G124" s="13"/>
      <c r="H124" s="4"/>
      <c r="I124" s="21"/>
      <c r="J124" s="20"/>
      <c r="K124" t="str">
        <f t="shared" si="3"/>
        <v/>
      </c>
    </row>
    <row r="125" spans="1:11" ht="71.25" customHeight="1" x14ac:dyDescent="0.25">
      <c r="A125" s="28" t="s">
        <v>265</v>
      </c>
      <c r="B125" s="76" t="s">
        <v>266</v>
      </c>
      <c r="C125" s="77"/>
      <c r="D125" s="43" t="s">
        <v>267</v>
      </c>
      <c r="E125" s="13" t="str">
        <f>IF(C1="","",IF(OR(C5="Approved",C5="CA"),"x",""))</f>
        <v/>
      </c>
      <c r="F125" s="13" t="str">
        <f>IF(C5="Rejected","x","")</f>
        <v>x</v>
      </c>
      <c r="G125" s="13"/>
      <c r="H125" s="4"/>
      <c r="I125" s="21"/>
      <c r="J125" s="20"/>
      <c r="K125" t="str">
        <f t="shared" si="3"/>
        <v>5.0 - MUST INCLUDE THIS NOTE IN APPROVAL COMMENTS</v>
      </c>
    </row>
    <row r="126" spans="1:11" ht="15.75" customHeight="1" x14ac:dyDescent="0.25">
      <c r="A126" s="96" t="s">
        <v>268</v>
      </c>
      <c r="B126" s="87"/>
      <c r="C126" s="87"/>
      <c r="D126" s="87"/>
      <c r="E126" s="87"/>
      <c r="F126" s="87"/>
      <c r="G126" s="87"/>
      <c r="H126" s="87"/>
      <c r="I126" s="87"/>
      <c r="J126" s="77"/>
      <c r="K126" t="str">
        <f t="shared" si="3"/>
        <v/>
      </c>
    </row>
    <row r="127" spans="1:11" ht="30" customHeight="1" x14ac:dyDescent="0.25">
      <c r="A127" s="28" t="s">
        <v>269</v>
      </c>
      <c r="B127" s="76" t="s">
        <v>270</v>
      </c>
      <c r="C127" s="77"/>
      <c r="D127" s="43" t="s">
        <v>271</v>
      </c>
      <c r="E127" s="13" t="str">
        <f>IF(C1="","",IF(OR(C3="Verify Complete",C3="N/A",RIGHT(C3,8)="Existing"),"","x"))</f>
        <v/>
      </c>
      <c r="F127" s="13"/>
      <c r="G127" s="13" t="str">
        <f>IF(C1="","",IF(OR(C3="Verify Complete",C3="N/A",RIGHT(C3,8)="Existing"),"x",""))</f>
        <v>x</v>
      </c>
      <c r="H127" s="4" t="str">
        <f>IFERROR(IF(VLOOKUP(C3,$B$140:$C$177,2,FALSE)=0,"",VLOOKUP(C3,$B$140:$C$177,2,FALSE)),"")</f>
        <v/>
      </c>
      <c r="I127" s="21"/>
      <c r="J127" s="20"/>
      <c r="K127" t="str">
        <f t="shared" si="3"/>
        <v/>
      </c>
    </row>
    <row r="128" spans="1:11" ht="36" customHeight="1" x14ac:dyDescent="0.25">
      <c r="A128" s="29" t="s">
        <v>272</v>
      </c>
      <c r="B128" s="76" t="s">
        <v>273</v>
      </c>
      <c r="C128" s="77"/>
      <c r="D128" s="43" t="s">
        <v>274</v>
      </c>
      <c r="E128" s="13" t="str">
        <f>IF(C1="","",IF(OR(C3="Verify Complete",C3="N/A"),"",IF(AND(LEFT(H39,12)&lt;&gt;"A production",G39=""),IF(AND(E46="",F46="",E34="",F34=""),"x",""),"")))</f>
        <v/>
      </c>
      <c r="F128" s="13"/>
      <c r="G128" s="13" t="str">
        <f>IF(C1="","",IF(OR(C3="Verify Complete",C3="N/A"),"x",IF(AND(LEFT(H39,12)&lt;&gt;"A production",G39=""),IF(OR(E46&lt;&gt;"",F46&lt;&gt;"",E34&lt;&gt;"",F34&lt;&gt;""),"x",""),"x")))</f>
        <v>x</v>
      </c>
      <c r="H128" s="4" t="str">
        <f>IFERROR(IF(C1="","",IF(OR(C3="Verify Complete",C3="N/A"),"",IF(AND(G39="",LEFT(H39,12)&lt;&gt;"A production",AND(E46="",F46="",E34="",F34="")),IF(VLOOKUP(C3,$B$140:$D$177,3,FALSE)=0,"",VLOOKUP(C3,$B$140:$D$177,3,FALSE)),IF(C3="Verify Complete","","NEX")))),"")</f>
        <v/>
      </c>
      <c r="I128" s="21"/>
      <c r="J128" s="20"/>
      <c r="K128" t="str">
        <f t="shared" si="3"/>
        <v/>
      </c>
    </row>
    <row r="129" spans="1:11" hidden="1" x14ac:dyDescent="0.25">
      <c r="A129" s="29"/>
      <c r="B129" s="76"/>
      <c r="C129" s="77"/>
      <c r="D129" s="43"/>
      <c r="E129" s="52"/>
      <c r="F129" s="52"/>
      <c r="G129" s="13"/>
      <c r="H129" s="26"/>
      <c r="I129" s="26"/>
      <c r="J129" s="52"/>
      <c r="K129" t="str">
        <f t="shared" si="3"/>
        <v/>
      </c>
    </row>
    <row r="130" spans="1:11" x14ac:dyDescent="0.25">
      <c r="A130" s="75" t="s">
        <v>275</v>
      </c>
      <c r="B130" s="76" t="s">
        <v>276</v>
      </c>
      <c r="C130" s="77"/>
      <c r="D130" s="72" t="s">
        <v>277</v>
      </c>
      <c r="E130" s="13"/>
      <c r="F130" s="13"/>
      <c r="G130" s="13" t="s">
        <v>26</v>
      </c>
      <c r="H130" s="4" t="str">
        <f>IF(F130&lt;&gt;"","Please upload a declaration of storage document to Salesforce from Appendix C of of the Technical Specifications Manual; be sure to select the form that "&amp;""&amp;"matches the alphanumeric configuration that will be noted on one-line: https://www.xcelenergy.com/staticfiles/xe-responsive/Working%20With%20Us/How%20to%20Interconnect/MN-Techinical%20Specifications%20Manual.pdf#page=88.","")</f>
        <v/>
      </c>
      <c r="I130" s="21"/>
      <c r="J130" s="20"/>
      <c r="K130" t="str">
        <f t="shared" si="3"/>
        <v/>
      </c>
    </row>
    <row r="131" spans="1:11" ht="33" customHeight="1" x14ac:dyDescent="0.25">
      <c r="A131" s="73" t="s">
        <v>278</v>
      </c>
      <c r="B131" s="76" t="s">
        <v>279</v>
      </c>
      <c r="C131" s="77"/>
      <c r="D131" s="72" t="s">
        <v>280</v>
      </c>
      <c r="E131" s="13" t="s">
        <v>26</v>
      </c>
      <c r="F131" s="13"/>
      <c r="G131" s="13"/>
      <c r="H131" s="4" t="str">
        <f>IF(F131="","","Indicate lugs/lug kit as a non-splicing model or explicitly call out as non-splicing.")</f>
        <v/>
      </c>
      <c r="I131" s="21"/>
      <c r="J131" s="20"/>
      <c r="K131" t="str">
        <f t="shared" ref="K131:K137" si="4">IF(F131&lt;&gt;"",A131&amp;" - "&amp;B131&amp;H131,"")</f>
        <v/>
      </c>
    </row>
    <row r="132" spans="1:11" ht="60" customHeight="1" x14ac:dyDescent="0.25">
      <c r="A132" s="29" t="s">
        <v>281</v>
      </c>
      <c r="B132" s="76" t="s">
        <v>282</v>
      </c>
      <c r="C132" s="77"/>
      <c r="D132" s="43" t="s">
        <v>283</v>
      </c>
      <c r="E132" s="13"/>
      <c r="F132" s="13"/>
      <c r="G132" s="13" t="s">
        <v>26</v>
      </c>
      <c r="H132" s="4"/>
      <c r="I132" s="21"/>
      <c r="J132" s="20"/>
      <c r="K132" t="str">
        <f t="shared" si="4"/>
        <v/>
      </c>
    </row>
    <row r="133" spans="1:11" x14ac:dyDescent="0.25">
      <c r="A133" s="28" t="s">
        <v>284</v>
      </c>
      <c r="B133" s="76" t="s">
        <v>285</v>
      </c>
      <c r="C133" s="77"/>
      <c r="D133" s="43" t="s">
        <v>286</v>
      </c>
      <c r="E133" s="13" t="str">
        <f>IF(C1="","",IF(AND(C3&lt;&gt;"Verify Complete",C3&lt;&gt;"N/A"),"x",""))</f>
        <v/>
      </c>
      <c r="F133" s="13"/>
      <c r="G133" s="13" t="str">
        <f>IF(C1="","",IF(OR(C3="Verify Complete",C3="N/A"),"x",""))</f>
        <v>x</v>
      </c>
      <c r="H133" s="4"/>
      <c r="I133" s="21"/>
      <c r="J133" s="20"/>
      <c r="K133" t="str">
        <f t="shared" si="4"/>
        <v/>
      </c>
    </row>
    <row r="134" spans="1:11" x14ac:dyDescent="0.25">
      <c r="A134" s="28"/>
      <c r="B134" s="76"/>
      <c r="C134" s="77"/>
      <c r="D134" s="43"/>
      <c r="E134" s="13"/>
      <c r="F134" s="13"/>
      <c r="G134" s="13"/>
      <c r="H134" s="4"/>
      <c r="I134" s="21"/>
      <c r="J134" s="20"/>
      <c r="K134" t="str">
        <f t="shared" si="4"/>
        <v/>
      </c>
    </row>
    <row r="135" spans="1:11" x14ac:dyDescent="0.25">
      <c r="A135" s="28"/>
      <c r="B135" s="76"/>
      <c r="C135" s="77"/>
      <c r="D135" s="43"/>
      <c r="E135" s="13"/>
      <c r="F135" s="13"/>
      <c r="G135" s="13"/>
      <c r="H135" s="4"/>
      <c r="I135" s="21"/>
      <c r="J135" s="20"/>
      <c r="K135" t="str">
        <f t="shared" si="4"/>
        <v/>
      </c>
    </row>
    <row r="136" spans="1:11" ht="16.5" customHeight="1" x14ac:dyDescent="0.25">
      <c r="A136" s="104" t="s">
        <v>287</v>
      </c>
      <c r="B136" s="87"/>
      <c r="C136" s="87"/>
      <c r="D136" s="87"/>
      <c r="E136" s="87"/>
      <c r="F136" s="87"/>
      <c r="G136" s="87"/>
      <c r="H136" s="87"/>
      <c r="I136" s="87"/>
      <c r="J136" s="77"/>
      <c r="K136" t="str">
        <f t="shared" si="4"/>
        <v/>
      </c>
    </row>
    <row r="137" spans="1:11" x14ac:dyDescent="0.25">
      <c r="A137" s="28"/>
      <c r="B137" s="76" t="s">
        <v>288</v>
      </c>
      <c r="C137" s="77"/>
      <c r="D137" s="43" t="s">
        <v>289</v>
      </c>
      <c r="E137" s="13" t="s">
        <v>26</v>
      </c>
      <c r="F137" s="13"/>
      <c r="G137" s="13"/>
      <c r="H137" s="4"/>
      <c r="I137" s="21"/>
      <c r="J137" s="20"/>
      <c r="K137" t="str">
        <f t="shared" si="4"/>
        <v/>
      </c>
    </row>
    <row r="138" spans="1:11" x14ac:dyDescent="0.25">
      <c r="A138" s="37"/>
    </row>
    <row r="139" spans="1:11" ht="16.5" customHeight="1" x14ac:dyDescent="0.25">
      <c r="A139" s="37"/>
      <c r="B139" s="40" t="s">
        <v>290</v>
      </c>
      <c r="C139" s="39" t="s">
        <v>291</v>
      </c>
      <c r="D139" s="41" t="s">
        <v>292</v>
      </c>
    </row>
    <row r="140" spans="1:11" x14ac:dyDescent="0.25">
      <c r="B140" s="40" t="s">
        <v>293</v>
      </c>
      <c r="C140" s="39" t="s">
        <v>294</v>
      </c>
      <c r="D140" s="41" t="s">
        <v>293</v>
      </c>
    </row>
    <row r="141" spans="1:11" x14ac:dyDescent="0.25">
      <c r="A141" s="37"/>
      <c r="B141" s="40" t="s">
        <v>295</v>
      </c>
      <c r="C141" s="39" t="s">
        <v>296</v>
      </c>
      <c r="D141" s="41" t="s">
        <v>293</v>
      </c>
    </row>
    <row r="142" spans="1:11" x14ac:dyDescent="0.25">
      <c r="A142" s="37"/>
      <c r="B142" s="39" t="s">
        <v>297</v>
      </c>
      <c r="C142" s="39" t="s">
        <v>298</v>
      </c>
      <c r="D142" s="41" t="s">
        <v>293</v>
      </c>
    </row>
    <row r="143" spans="1:11" x14ac:dyDescent="0.25">
      <c r="A143" s="37"/>
      <c r="B143" s="40" t="s">
        <v>299</v>
      </c>
      <c r="C143" s="39" t="s">
        <v>300</v>
      </c>
      <c r="D143" s="41" t="s">
        <v>293</v>
      </c>
    </row>
    <row r="144" spans="1:11" x14ac:dyDescent="0.25">
      <c r="A144" s="37"/>
      <c r="B144" s="40" t="s">
        <v>301</v>
      </c>
      <c r="C144" s="39" t="s">
        <v>302</v>
      </c>
      <c r="D144" s="41" t="s">
        <v>303</v>
      </c>
    </row>
    <row r="145" spans="1:10" s="64" customFormat="1" x14ac:dyDescent="0.25">
      <c r="A145" s="37"/>
      <c r="B145" s="40" t="s">
        <v>351</v>
      </c>
      <c r="C145" s="39" t="s">
        <v>305</v>
      </c>
      <c r="D145" s="41" t="s">
        <v>352</v>
      </c>
      <c r="E145" s="63"/>
      <c r="F145" s="63"/>
      <c r="G145" s="63"/>
      <c r="H145" s="62"/>
      <c r="J145" s="63"/>
    </row>
    <row r="146" spans="1:10" x14ac:dyDescent="0.25">
      <c r="A146" s="37"/>
      <c r="B146" s="40" t="s">
        <v>304</v>
      </c>
      <c r="C146" s="39" t="s">
        <v>305</v>
      </c>
      <c r="D146" s="41" t="s">
        <v>352</v>
      </c>
    </row>
    <row r="147" spans="1:10" s="71" customFormat="1" x14ac:dyDescent="0.25">
      <c r="A147" s="37"/>
      <c r="B147" s="40" t="s">
        <v>365</v>
      </c>
      <c r="C147" s="39" t="s">
        <v>362</v>
      </c>
      <c r="D147" s="39" t="s">
        <v>293</v>
      </c>
      <c r="E147" s="70"/>
      <c r="F147" s="70"/>
      <c r="G147" s="70"/>
      <c r="H147" s="69"/>
      <c r="J147" s="70"/>
    </row>
    <row r="148" spans="1:10" x14ac:dyDescent="0.25">
      <c r="A148" s="37"/>
      <c r="B148" s="40" t="s">
        <v>307</v>
      </c>
      <c r="C148" s="39" t="s">
        <v>308</v>
      </c>
      <c r="D148" s="39" t="s">
        <v>303</v>
      </c>
      <c r="F148"/>
    </row>
    <row r="149" spans="1:10" x14ac:dyDescent="0.25">
      <c r="A149" s="37"/>
      <c r="B149" s="40" t="s">
        <v>303</v>
      </c>
      <c r="C149" s="39" t="s">
        <v>309</v>
      </c>
      <c r="D149" s="39" t="s">
        <v>303</v>
      </c>
    </row>
    <row r="150" spans="1:10" s="67" customFormat="1" x14ac:dyDescent="0.25">
      <c r="A150" s="37"/>
      <c r="B150" s="40" t="s">
        <v>356</v>
      </c>
      <c r="C150" s="39" t="s">
        <v>357</v>
      </c>
      <c r="D150" s="39" t="s">
        <v>303</v>
      </c>
      <c r="E150" s="66"/>
      <c r="F150" s="66"/>
      <c r="G150" s="66"/>
      <c r="H150" s="65"/>
      <c r="J150" s="66"/>
    </row>
    <row r="151" spans="1:10" x14ac:dyDescent="0.25">
      <c r="A151" s="37"/>
      <c r="B151" s="40" t="s">
        <v>310</v>
      </c>
      <c r="C151" s="39" t="s">
        <v>311</v>
      </c>
      <c r="D151" s="39" t="s">
        <v>306</v>
      </c>
    </row>
    <row r="152" spans="1:10" x14ac:dyDescent="0.25">
      <c r="A152" s="37"/>
      <c r="B152" s="40" t="s">
        <v>312</v>
      </c>
      <c r="C152" s="39"/>
      <c r="D152" s="39"/>
    </row>
    <row r="153" spans="1:10" x14ac:dyDescent="0.25">
      <c r="A153" s="37"/>
      <c r="B153" s="40" t="s">
        <v>313</v>
      </c>
      <c r="C153" s="39" t="s">
        <v>314</v>
      </c>
      <c r="D153" s="39" t="s">
        <v>293</v>
      </c>
    </row>
    <row r="154" spans="1:10" ht="30" customHeight="1" x14ac:dyDescent="0.25">
      <c r="A154" s="37"/>
      <c r="B154" s="40" t="s">
        <v>315</v>
      </c>
      <c r="C154" s="39" t="s">
        <v>316</v>
      </c>
      <c r="D154" s="39" t="s">
        <v>293</v>
      </c>
    </row>
    <row r="155" spans="1:10" x14ac:dyDescent="0.25">
      <c r="A155" s="37"/>
      <c r="B155" s="40" t="s">
        <v>317</v>
      </c>
      <c r="C155" s="39" t="s">
        <v>318</v>
      </c>
      <c r="D155" s="39" t="s">
        <v>293</v>
      </c>
    </row>
    <row r="156" spans="1:10" x14ac:dyDescent="0.25">
      <c r="A156" s="37"/>
      <c r="B156" s="40" t="s">
        <v>319</v>
      </c>
      <c r="C156" s="39" t="s">
        <v>320</v>
      </c>
      <c r="D156" s="39" t="s">
        <v>293</v>
      </c>
    </row>
    <row r="157" spans="1:10" x14ac:dyDescent="0.25">
      <c r="A157" s="37"/>
      <c r="B157" s="40" t="s">
        <v>321</v>
      </c>
      <c r="C157" s="39" t="s">
        <v>322</v>
      </c>
      <c r="D157" s="39" t="s">
        <v>303</v>
      </c>
    </row>
    <row r="158" spans="1:10" s="64" customFormat="1" x14ac:dyDescent="0.25">
      <c r="A158" s="37"/>
      <c r="B158" s="40" t="s">
        <v>353</v>
      </c>
      <c r="C158" s="39" t="s">
        <v>354</v>
      </c>
      <c r="D158" s="39" t="s">
        <v>306</v>
      </c>
      <c r="E158" s="63"/>
      <c r="F158" s="63"/>
      <c r="G158" s="63"/>
      <c r="H158" s="62"/>
      <c r="J158" s="63"/>
    </row>
    <row r="159" spans="1:10" x14ac:dyDescent="0.25">
      <c r="A159" s="37"/>
      <c r="B159" s="40" t="s">
        <v>323</v>
      </c>
      <c r="C159" s="39" t="s">
        <v>324</v>
      </c>
      <c r="D159" s="39" t="s">
        <v>306</v>
      </c>
    </row>
    <row r="160" spans="1:10" s="71" customFormat="1" x14ac:dyDescent="0.25">
      <c r="A160" s="37"/>
      <c r="B160" s="40" t="s">
        <v>363</v>
      </c>
      <c r="C160" s="39" t="s">
        <v>364</v>
      </c>
      <c r="D160" s="39" t="s">
        <v>293</v>
      </c>
      <c r="E160" s="70"/>
      <c r="F160" s="70"/>
      <c r="G160" s="70"/>
      <c r="H160" s="69"/>
      <c r="J160" s="70"/>
    </row>
    <row r="161" spans="1:10" x14ac:dyDescent="0.25">
      <c r="A161" s="37"/>
      <c r="B161" s="40" t="s">
        <v>325</v>
      </c>
      <c r="C161" s="39" t="s">
        <v>326</v>
      </c>
      <c r="D161" s="39" t="s">
        <v>303</v>
      </c>
    </row>
    <row r="162" spans="1:10" x14ac:dyDescent="0.25">
      <c r="A162" s="37"/>
      <c r="B162" s="40" t="s">
        <v>327</v>
      </c>
      <c r="C162" s="39" t="s">
        <v>328</v>
      </c>
      <c r="D162" s="39" t="s">
        <v>303</v>
      </c>
    </row>
    <row r="163" spans="1:10" s="67" customFormat="1" ht="30" x14ac:dyDescent="0.25">
      <c r="A163" s="37"/>
      <c r="B163" s="40" t="s">
        <v>358</v>
      </c>
      <c r="C163" s="39" t="s">
        <v>359</v>
      </c>
      <c r="D163" s="39" t="s">
        <v>303</v>
      </c>
      <c r="E163" s="66"/>
      <c r="F163" s="66"/>
      <c r="G163" s="66"/>
      <c r="H163" s="65"/>
      <c r="J163" s="66"/>
    </row>
    <row r="164" spans="1:10" x14ac:dyDescent="0.25">
      <c r="A164" s="37"/>
      <c r="B164" s="40" t="s">
        <v>329</v>
      </c>
      <c r="C164" s="39" t="s">
        <v>330</v>
      </c>
      <c r="D164" s="39" t="s">
        <v>306</v>
      </c>
    </row>
    <row r="165" spans="1:10" x14ac:dyDescent="0.25">
      <c r="A165" s="37"/>
      <c r="B165" s="40" t="s">
        <v>331</v>
      </c>
      <c r="C165" s="39" t="s">
        <v>294</v>
      </c>
      <c r="D165" s="39" t="s">
        <v>293</v>
      </c>
    </row>
    <row r="166" spans="1:10" x14ac:dyDescent="0.25">
      <c r="A166" s="9"/>
      <c r="B166" s="40" t="s">
        <v>332</v>
      </c>
      <c r="C166" s="39" t="s">
        <v>296</v>
      </c>
      <c r="D166" s="39" t="s">
        <v>293</v>
      </c>
    </row>
    <row r="167" spans="1:10" x14ac:dyDescent="0.25">
      <c r="A167" s="9"/>
      <c r="B167" s="39" t="s">
        <v>333</v>
      </c>
      <c r="C167" s="39" t="s">
        <v>298</v>
      </c>
      <c r="D167" s="39" t="s">
        <v>293</v>
      </c>
    </row>
    <row r="168" spans="1:10" x14ac:dyDescent="0.25">
      <c r="A168" s="9"/>
      <c r="B168" s="40" t="s">
        <v>334</v>
      </c>
      <c r="C168" s="39" t="s">
        <v>300</v>
      </c>
      <c r="D168" s="39" t="s">
        <v>293</v>
      </c>
    </row>
    <row r="169" spans="1:10" x14ac:dyDescent="0.25">
      <c r="A169" s="9"/>
      <c r="B169" s="42" t="s">
        <v>335</v>
      </c>
      <c r="C169" s="41" t="s">
        <v>302</v>
      </c>
      <c r="D169" s="41" t="s">
        <v>303</v>
      </c>
    </row>
    <row r="170" spans="1:10" s="64" customFormat="1" x14ac:dyDescent="0.25">
      <c r="A170" s="9"/>
      <c r="B170" s="42" t="s">
        <v>355</v>
      </c>
      <c r="C170" s="41" t="s">
        <v>305</v>
      </c>
      <c r="D170" s="41" t="s">
        <v>306</v>
      </c>
      <c r="E170" s="63"/>
      <c r="F170" s="63"/>
      <c r="G170" s="63"/>
      <c r="H170" s="62"/>
      <c r="J170" s="63"/>
    </row>
    <row r="171" spans="1:10" x14ac:dyDescent="0.25">
      <c r="A171" s="9"/>
      <c r="B171" s="42" t="s">
        <v>336</v>
      </c>
      <c r="C171" s="41" t="s">
        <v>305</v>
      </c>
      <c r="D171" s="41" t="s">
        <v>306</v>
      </c>
    </row>
    <row r="172" spans="1:10" s="71" customFormat="1" x14ac:dyDescent="0.25">
      <c r="A172" s="9"/>
      <c r="B172" s="42" t="s">
        <v>361</v>
      </c>
      <c r="C172" s="41" t="s">
        <v>362</v>
      </c>
      <c r="D172" s="41" t="s">
        <v>293</v>
      </c>
      <c r="E172" s="70"/>
      <c r="F172" s="70"/>
      <c r="G172" s="70"/>
      <c r="H172" s="69"/>
      <c r="J172" s="70"/>
    </row>
    <row r="173" spans="1:10" x14ac:dyDescent="0.25">
      <c r="A173" s="9"/>
      <c r="B173" s="42" t="s">
        <v>337</v>
      </c>
      <c r="C173" s="41" t="s">
        <v>308</v>
      </c>
      <c r="D173" s="41" t="s">
        <v>303</v>
      </c>
    </row>
    <row r="174" spans="1:10" x14ac:dyDescent="0.25">
      <c r="A174" s="9"/>
      <c r="B174" s="42" t="s">
        <v>338</v>
      </c>
      <c r="C174" s="41" t="s">
        <v>309</v>
      </c>
      <c r="D174" s="41" t="s">
        <v>303</v>
      </c>
    </row>
    <row r="175" spans="1:10" s="67" customFormat="1" ht="30" x14ac:dyDescent="0.25">
      <c r="A175" s="9"/>
      <c r="B175" s="42" t="s">
        <v>360</v>
      </c>
      <c r="C175" s="41" t="s">
        <v>357</v>
      </c>
      <c r="D175" s="41" t="s">
        <v>303</v>
      </c>
      <c r="E175" s="66"/>
      <c r="F175" s="66"/>
      <c r="G175" s="66"/>
      <c r="H175" s="65"/>
      <c r="J175" s="66"/>
    </row>
    <row r="176" spans="1:10" x14ac:dyDescent="0.25">
      <c r="A176" s="9"/>
      <c r="B176" s="42" t="s">
        <v>339</v>
      </c>
      <c r="C176" s="41" t="s">
        <v>311</v>
      </c>
      <c r="D176" s="41" t="s">
        <v>306</v>
      </c>
    </row>
    <row r="177" spans="1:4" ht="30" x14ac:dyDescent="0.25">
      <c r="A177" s="9"/>
      <c r="B177" s="68" t="s">
        <v>348</v>
      </c>
      <c r="C177" s="41" t="s">
        <v>349</v>
      </c>
      <c r="D177" s="41" t="s">
        <v>350</v>
      </c>
    </row>
  </sheetData>
  <mergeCells count="145">
    <mergeCell ref="A136:J136"/>
    <mergeCell ref="B137:C137"/>
    <mergeCell ref="B135:C135"/>
    <mergeCell ref="A126:J126"/>
    <mergeCell ref="B127:C127"/>
    <mergeCell ref="B128:C128"/>
    <mergeCell ref="B129:C129"/>
    <mergeCell ref="B130:C130"/>
    <mergeCell ref="B131:C131"/>
    <mergeCell ref="B132:C132"/>
    <mergeCell ref="B133:C133"/>
    <mergeCell ref="B134:C134"/>
    <mergeCell ref="C120:J120"/>
    <mergeCell ref="B30:C30"/>
    <mergeCell ref="B33:C33"/>
    <mergeCell ref="B125:C125"/>
    <mergeCell ref="B123:C123"/>
    <mergeCell ref="B124:C124"/>
    <mergeCell ref="C12:J12"/>
    <mergeCell ref="C18:J18"/>
    <mergeCell ref="C38:J38"/>
    <mergeCell ref="C48:J48"/>
    <mergeCell ref="C55:J55"/>
    <mergeCell ref="B59:C59"/>
    <mergeCell ref="B100:C100"/>
    <mergeCell ref="B101:C101"/>
    <mergeCell ref="B102:C102"/>
    <mergeCell ref="B103:C103"/>
    <mergeCell ref="B119:C119"/>
    <mergeCell ref="B121:C121"/>
    <mergeCell ref="B122:C122"/>
    <mergeCell ref="B53:C53"/>
    <mergeCell ref="B54:C54"/>
    <mergeCell ref="B56:C56"/>
    <mergeCell ref="B114:C114"/>
    <mergeCell ref="B118:C118"/>
    <mergeCell ref="A48:B48"/>
    <mergeCell ref="A38:B38"/>
    <mergeCell ref="A18:B18"/>
    <mergeCell ref="B40:C40"/>
    <mergeCell ref="B42:C42"/>
    <mergeCell ref="B43:C43"/>
    <mergeCell ref="B41:C41"/>
    <mergeCell ref="B44:C44"/>
    <mergeCell ref="B28:C28"/>
    <mergeCell ref="B19:C19"/>
    <mergeCell ref="B20:C20"/>
    <mergeCell ref="B23:C23"/>
    <mergeCell ref="B24:C24"/>
    <mergeCell ref="B25:C25"/>
    <mergeCell ref="B27:C27"/>
    <mergeCell ref="B21:C21"/>
    <mergeCell ref="B22:C22"/>
    <mergeCell ref="B26:C26"/>
    <mergeCell ref="B29:C29"/>
    <mergeCell ref="B117:C117"/>
    <mergeCell ref="B46:C46"/>
    <mergeCell ref="B47:C47"/>
    <mergeCell ref="B49:C49"/>
    <mergeCell ref="B36:C36"/>
    <mergeCell ref="B39:C39"/>
    <mergeCell ref="B115:C115"/>
    <mergeCell ref="B116:C116"/>
    <mergeCell ref="B88:C88"/>
    <mergeCell ref="B78:C78"/>
    <mergeCell ref="B110:C110"/>
    <mergeCell ref="B111:C111"/>
    <mergeCell ref="B112:C112"/>
    <mergeCell ref="B113:C113"/>
    <mergeCell ref="B104:C104"/>
    <mergeCell ref="B105:C105"/>
    <mergeCell ref="B106:C106"/>
    <mergeCell ref="B107:C107"/>
    <mergeCell ref="B108:C108"/>
    <mergeCell ref="B82:C82"/>
    <mergeCell ref="B83:C83"/>
    <mergeCell ref="B89:C89"/>
    <mergeCell ref="C80:J80"/>
    <mergeCell ref="C66:J66"/>
    <mergeCell ref="A120:B120"/>
    <mergeCell ref="A66:B66"/>
    <mergeCell ref="A80:B80"/>
    <mergeCell ref="A90:J90"/>
    <mergeCell ref="B67:C67"/>
    <mergeCell ref="B68:C68"/>
    <mergeCell ref="B69:C69"/>
    <mergeCell ref="B70:C70"/>
    <mergeCell ref="B71:C71"/>
    <mergeCell ref="B72:C72"/>
    <mergeCell ref="B73:C73"/>
    <mergeCell ref="B74:C74"/>
    <mergeCell ref="B75:C75"/>
    <mergeCell ref="B76:C76"/>
    <mergeCell ref="B77:C77"/>
    <mergeCell ref="C99:J99"/>
    <mergeCell ref="B93:C93"/>
    <mergeCell ref="A98:J98"/>
    <mergeCell ref="A99:B99"/>
    <mergeCell ref="B109:C109"/>
    <mergeCell ref="B94:C94"/>
    <mergeCell ref="B95:C95"/>
    <mergeCell ref="B96:C96"/>
    <mergeCell ref="B97:C97"/>
    <mergeCell ref="B91:C91"/>
    <mergeCell ref="B92:C92"/>
    <mergeCell ref="B84:C84"/>
    <mergeCell ref="B85:C85"/>
    <mergeCell ref="B86:C86"/>
    <mergeCell ref="B87:C87"/>
    <mergeCell ref="B79:C79"/>
    <mergeCell ref="B81:C81"/>
    <mergeCell ref="A65:J65"/>
    <mergeCell ref="B60:C60"/>
    <mergeCell ref="B61:C61"/>
    <mergeCell ref="B62:C62"/>
    <mergeCell ref="B63:C63"/>
    <mergeCell ref="B64:C64"/>
    <mergeCell ref="B57:C57"/>
    <mergeCell ref="B58:C58"/>
    <mergeCell ref="A55:B55"/>
    <mergeCell ref="B50:C50"/>
    <mergeCell ref="B51:C51"/>
    <mergeCell ref="B52:C52"/>
    <mergeCell ref="B15:C15"/>
    <mergeCell ref="A3:B3"/>
    <mergeCell ref="B35:C35"/>
    <mergeCell ref="B31:C31"/>
    <mergeCell ref="B32:C32"/>
    <mergeCell ref="B34:C34"/>
    <mergeCell ref="B37:C37"/>
    <mergeCell ref="B45:C45"/>
    <mergeCell ref="A1:B1"/>
    <mergeCell ref="A2:B2"/>
    <mergeCell ref="A4:B4"/>
    <mergeCell ref="A7:J7"/>
    <mergeCell ref="A8:H8"/>
    <mergeCell ref="E9:G9"/>
    <mergeCell ref="A5:B5"/>
    <mergeCell ref="B10:C10"/>
    <mergeCell ref="B13:C13"/>
    <mergeCell ref="A12:B12"/>
    <mergeCell ref="A11:J11"/>
    <mergeCell ref="B16:C16"/>
    <mergeCell ref="B17:C17"/>
    <mergeCell ref="B14:C14"/>
  </mergeCells>
  <conditionalFormatting sqref="A13:C17">
    <cfRule type="expression" dxfId="14" priority="15">
      <formula>$F13&lt;&gt;""</formula>
    </cfRule>
  </conditionalFormatting>
  <conditionalFormatting sqref="A26 A19:C25 A27:C28 A30:C37 A29:B29">
    <cfRule type="expression" dxfId="13" priority="14">
      <formula>$F19&lt;&gt;""</formula>
    </cfRule>
  </conditionalFormatting>
  <conditionalFormatting sqref="A39:C41 A43:C47 A42">
    <cfRule type="expression" dxfId="12" priority="13">
      <formula>$F39&lt;&gt;""</formula>
    </cfRule>
  </conditionalFormatting>
  <conditionalFormatting sqref="A49:C54">
    <cfRule type="expression" dxfId="11" priority="12">
      <formula>$F49&lt;&gt;""</formula>
    </cfRule>
  </conditionalFormatting>
  <conditionalFormatting sqref="A56:C64">
    <cfRule type="expression" dxfId="10" priority="11">
      <formula>$F56&lt;&gt;""</formula>
    </cfRule>
  </conditionalFormatting>
  <conditionalFormatting sqref="A67:C79">
    <cfRule type="expression" dxfId="9" priority="10">
      <formula>$F67&lt;&gt;""</formula>
    </cfRule>
  </conditionalFormatting>
  <conditionalFormatting sqref="A81:C89">
    <cfRule type="expression" dxfId="8" priority="9">
      <formula>$F81&lt;&gt;""</formula>
    </cfRule>
  </conditionalFormatting>
  <conditionalFormatting sqref="A91:C97">
    <cfRule type="expression" dxfId="7" priority="8">
      <formula>$F91&lt;&gt;""</formula>
    </cfRule>
  </conditionalFormatting>
  <conditionalFormatting sqref="A100:C119">
    <cfRule type="expression" dxfId="6" priority="7">
      <formula>$F100&lt;&gt;""</formula>
    </cfRule>
  </conditionalFormatting>
  <conditionalFormatting sqref="A121:C124">
    <cfRule type="expression" dxfId="5" priority="6">
      <formula>$F121&lt;&gt;""</formula>
    </cfRule>
  </conditionalFormatting>
  <conditionalFormatting sqref="A125:C125">
    <cfRule type="expression" dxfId="4" priority="5">
      <formula>$F125&lt;&gt;""</formula>
    </cfRule>
  </conditionalFormatting>
  <conditionalFormatting sqref="A127:C135">
    <cfRule type="expression" dxfId="3" priority="4">
      <formula>$F127&lt;&gt;""</formula>
    </cfRule>
  </conditionalFormatting>
  <conditionalFormatting sqref="B26:C26">
    <cfRule type="expression" dxfId="2" priority="3">
      <formula>$F26&lt;&gt;""</formula>
    </cfRule>
  </conditionalFormatting>
  <conditionalFormatting sqref="A137:C137">
    <cfRule type="expression" dxfId="1" priority="2">
      <formula>$F137&lt;&gt;""</formula>
    </cfRule>
  </conditionalFormatting>
  <conditionalFormatting sqref="B42:C42">
    <cfRule type="expression" dxfId="0" priority="1">
      <formula>$F42&lt;&gt;""</formula>
    </cfRule>
  </conditionalFormatting>
  <hyperlinks>
    <hyperlink ref="B51" location="_bookmark12" display="_bookmark12" xr:uid="{00000000-0004-0000-0000-000000000000}"/>
    <hyperlink ref="B56" location="_bookmark13" display="_bookmark13" xr:uid="{00000000-0004-0000-0000-000001000000}"/>
    <hyperlink ref="B112" location="_bookmark18" display="_bookmark18" xr:uid="{00000000-0004-0000-0000-000002000000}"/>
  </hyperlinks>
  <pageMargins left="0.7" right="0.7" top="0.75" bottom="0.75" header="0.3" footer="0.3"/>
  <pageSetup orientation="portrait" r:id="rId1"/>
  <ignoredErrors>
    <ignoredError sqref="A3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HighlightedCell">
                <anchor moveWithCells="1" sizeWithCells="1">
                  <from>
                    <xdr:col>4</xdr:col>
                    <xdr:colOff>9525</xdr:colOff>
                    <xdr:row>2</xdr:row>
                    <xdr:rowOff>180975</xdr:rowOff>
                  </from>
                  <to>
                    <xdr:col>7</xdr:col>
                    <xdr:colOff>981075</xdr:colOff>
                    <xdr:row>5</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autoMove">
                <anchor moveWithCells="1" sizeWithCells="1">
                  <from>
                    <xdr:col>3</xdr:col>
                    <xdr:colOff>3228975</xdr:colOff>
                    <xdr:row>139</xdr:row>
                    <xdr:rowOff>38100</xdr:rowOff>
                  </from>
                  <to>
                    <xdr:col>7</xdr:col>
                    <xdr:colOff>571500</xdr:colOff>
                    <xdr:row>143</xdr:row>
                    <xdr:rowOff>142875</xdr:rowOff>
                  </to>
                </anchor>
              </controlPr>
            </control>
          </mc:Choice>
        </mc:AlternateContent>
        <mc:AlternateContent xmlns:mc="http://schemas.openxmlformats.org/markup-compatibility/2006">
          <mc:Choice Requires="x14">
            <control shapeId="1027" r:id="rId6" name="Button 3">
              <controlPr defaultSize="0" print="0" autoFill="0" autoPict="0" macro="[0]!postQC">
                <anchor moveWithCells="1" sizeWithCells="1">
                  <from>
                    <xdr:col>8</xdr:col>
                    <xdr:colOff>0</xdr:colOff>
                    <xdr:row>2</xdr:row>
                    <xdr:rowOff>180975</xdr:rowOff>
                  </from>
                  <to>
                    <xdr:col>9</xdr:col>
                    <xdr:colOff>819150</xdr:colOff>
                    <xdr:row>5</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joeButton">
                <anchor moveWithCells="1" sizeWithCells="1">
                  <from>
                    <xdr:col>7</xdr:col>
                    <xdr:colOff>1343025</xdr:colOff>
                    <xdr:row>3</xdr:row>
                    <xdr:rowOff>0</xdr:rowOff>
                  </from>
                  <to>
                    <xdr:col>7</xdr:col>
                    <xdr:colOff>2952750</xdr:colOff>
                    <xdr:row>5</xdr:row>
                    <xdr:rowOff>180975</xdr:rowOff>
                  </to>
                </anchor>
              </controlPr>
            </control>
          </mc:Choice>
        </mc:AlternateContent>
        <mc:AlternateContent xmlns:mc="http://schemas.openxmlformats.org/markup-compatibility/2006">
          <mc:Choice Requires="x14">
            <control shapeId="1034" r:id="rId8" name="Button 10">
              <controlPr defaultSize="0" print="0" autoFill="0" autoPict="0" macro="[0]!nickButton">
                <anchor moveWithCells="1" sizeWithCells="1">
                  <from>
                    <xdr:col>8</xdr:col>
                    <xdr:colOff>228600</xdr:colOff>
                    <xdr:row>0</xdr:row>
                    <xdr:rowOff>47625</xdr:rowOff>
                  </from>
                  <to>
                    <xdr:col>9</xdr:col>
                    <xdr:colOff>514350</xdr:colOff>
                    <xdr:row>1</xdr:row>
                    <xdr:rowOff>104775</xdr:rowOff>
                  </to>
                </anchor>
              </controlPr>
            </control>
          </mc:Choice>
        </mc:AlternateContent>
        <mc:AlternateContent xmlns:mc="http://schemas.openxmlformats.org/markup-compatibility/2006">
          <mc:Choice Requires="x14">
            <control shapeId="1040" r:id="rId9" name="Button 16">
              <controlPr defaultSize="0" print="0" autoFill="0" autoPict="0" macro="[0]!Very_Nice">
                <anchor moveWithCells="1" sizeWithCells="1">
                  <from>
                    <xdr:col>5</xdr:col>
                    <xdr:colOff>257175</xdr:colOff>
                    <xdr:row>0</xdr:row>
                    <xdr:rowOff>57150</xdr:rowOff>
                  </from>
                  <to>
                    <xdr:col>7</xdr:col>
                    <xdr:colOff>2295525</xdr:colOff>
                    <xdr:row>2</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DER Study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Nogosek</dc:creator>
  <cp:lastModifiedBy>Joe Nogosek</cp:lastModifiedBy>
  <dcterms:created xsi:type="dcterms:W3CDTF">2006-09-16T00:00:00Z</dcterms:created>
  <dcterms:modified xsi:type="dcterms:W3CDTF">2022-03-28T21:42:36Z</dcterms:modified>
</cp:coreProperties>
</file>