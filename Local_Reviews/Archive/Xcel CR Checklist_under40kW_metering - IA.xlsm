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uei.com\ulteig$\Projects\2021\21.00016\Reviews\"/>
    </mc:Choice>
  </mc:AlternateContent>
  <xr:revisionPtr revIDLastSave="0" documentId="13_ncr:1_{79DDE1DA-06B6-4A6F-B8D9-BBC0E0AFF1E4}" xr6:coauthVersionLast="47" xr6:coauthVersionMax="47" xr10:uidLastSave="{00000000-0000-0000-0000-000000000000}"/>
  <bookViews>
    <workbookView xWindow="28680" yWindow="-120" windowWidth="29040" windowHeight="15840" tabRatio="621" xr2:uid="{00000000-000D-0000-FFFF-FFFF00000000}"/>
  </bookViews>
  <sheets>
    <sheet name="DER Study" sheetId="17" r:id="rId1"/>
  </sheets>
  <externalReferences>
    <externalReference r:id="rId2"/>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4" i="17" l="1"/>
  <c r="H131" i="17" l="1"/>
  <c r="C5" i="17"/>
  <c r="C4" i="17" a="1"/>
  <c r="C4" i="17" s="1"/>
  <c r="C3" i="17" a="1"/>
  <c r="C3" i="17" s="1"/>
  <c r="C2" i="17" a="1"/>
  <c r="C2" i="17" s="1"/>
  <c r="H128" i="17"/>
  <c r="H44" i="17"/>
  <c r="H26" i="17" a="1"/>
  <c r="H26" i="17" s="1"/>
  <c r="H49" i="17"/>
  <c r="H35" i="17" a="1"/>
  <c r="H35" i="17" s="1"/>
  <c r="H20" i="17"/>
  <c r="H39" i="17"/>
  <c r="H88" i="17" l="1"/>
  <c r="G128" i="17" l="1"/>
  <c r="E128" i="17"/>
  <c r="E133" i="17"/>
  <c r="G133" i="17"/>
  <c r="K12" i="17"/>
  <c r="K66" i="17"/>
  <c r="H67" i="17"/>
  <c r="H23" i="17"/>
  <c r="H34" i="17"/>
  <c r="H13" i="17"/>
  <c r="H130" i="17"/>
  <c r="H127" i="17"/>
  <c r="E127" i="17" l="1"/>
  <c r="G127" i="17"/>
  <c r="H82" i="17"/>
  <c r="K82" i="17" s="1"/>
  <c r="K39" i="17"/>
  <c r="H68" i="17"/>
  <c r="H73" i="17"/>
  <c r="H75" i="17"/>
  <c r="K75" i="17" s="1"/>
  <c r="H74" i="17"/>
  <c r="H76" i="17"/>
  <c r="H87" i="17"/>
  <c r="H81" i="17"/>
  <c r="H22" i="17"/>
  <c r="H28" i="17"/>
  <c r="H27" i="17"/>
  <c r="H14" i="17"/>
  <c r="K88" i="17"/>
  <c r="H15" i="17"/>
  <c r="K15" i="17" s="1"/>
  <c r="H30" i="17"/>
  <c r="K30" i="17" s="1"/>
  <c r="H31" i="17"/>
  <c r="K14" i="17"/>
  <c r="K16" i="17"/>
  <c r="K17" i="17"/>
  <c r="K18" i="17"/>
  <c r="K19" i="17"/>
  <c r="K20" i="17"/>
  <c r="K21" i="17"/>
  <c r="K22" i="17"/>
  <c r="K23" i="17"/>
  <c r="K24" i="17"/>
  <c r="D5" i="17" s="1" a="1"/>
  <c r="D5" i="17" s="1"/>
  <c r="K25" i="17"/>
  <c r="K26" i="17"/>
  <c r="K27" i="17"/>
  <c r="K28" i="17"/>
  <c r="K32" i="17"/>
  <c r="K33" i="17"/>
  <c r="K34" i="17"/>
  <c r="K35" i="17"/>
  <c r="K36" i="17"/>
  <c r="K37" i="17"/>
  <c r="K38"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7" i="17"/>
  <c r="K68" i="17"/>
  <c r="K69" i="17"/>
  <c r="K70" i="17"/>
  <c r="K71" i="17"/>
  <c r="K72" i="17"/>
  <c r="K73" i="17"/>
  <c r="K74" i="17"/>
  <c r="K76" i="17"/>
  <c r="K77" i="17"/>
  <c r="K78" i="17"/>
  <c r="K79" i="17"/>
  <c r="K80" i="17"/>
  <c r="K81" i="17"/>
  <c r="K83" i="17"/>
  <c r="K84" i="17"/>
  <c r="K85" i="17"/>
  <c r="K86" i="17"/>
  <c r="K87"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6" i="17"/>
  <c r="K127" i="17"/>
  <c r="K128" i="17"/>
  <c r="K129" i="17"/>
  <c r="K130" i="17"/>
  <c r="K131" i="17"/>
  <c r="K132" i="17"/>
  <c r="K133" i="17"/>
  <c r="K134" i="17"/>
  <c r="K135" i="17"/>
  <c r="K136" i="17"/>
  <c r="K137" i="17"/>
  <c r="K13" i="17"/>
  <c r="K31" i="17" l="1"/>
  <c r="F125" i="17"/>
  <c r="K125" i="17" s="1"/>
  <c r="E125" i="1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<sst xmlns="http://schemas.openxmlformats.org/spreadsheetml/2006/main" count="455" uniqueCount="351">
  <si>
    <t>Revision Date</t>
  </si>
  <si>
    <t>QA/QC Engineer</t>
  </si>
  <si>
    <t>Date of QA/QC</t>
  </si>
  <si>
    <t>Yes</t>
  </si>
  <si>
    <t>No</t>
  </si>
  <si>
    <t>N/A</t>
  </si>
  <si>
    <t>Review Item</t>
  </si>
  <si>
    <t>Items to be completed by person who completed drawing/study</t>
  </si>
  <si>
    <t>Items to be completed by person doing the QA/QC</t>
  </si>
  <si>
    <t>Synergi Model Review</t>
  </si>
  <si>
    <t>Case Number</t>
  </si>
  <si>
    <t>Reviewer</t>
  </si>
  <si>
    <t>Section #</t>
  </si>
  <si>
    <t>Pass Review?</t>
  </si>
  <si>
    <t>3.10</t>
  </si>
  <si>
    <t>3.11</t>
  </si>
  <si>
    <t>3.12</t>
  </si>
  <si>
    <t>3.13</t>
  </si>
  <si>
    <t>3.11.3</t>
  </si>
  <si>
    <t>3.14</t>
  </si>
  <si>
    <t>3.15</t>
  </si>
  <si>
    <t>3.16</t>
  </si>
  <si>
    <t>3.17</t>
  </si>
  <si>
    <t>3.17.6</t>
  </si>
  <si>
    <t>3.18</t>
  </si>
  <si>
    <t>3.19</t>
  </si>
  <si>
    <t>3.19.1</t>
  </si>
  <si>
    <t>3.20</t>
  </si>
  <si>
    <t>3.20.1</t>
  </si>
  <si>
    <t>3.20.1.1</t>
  </si>
  <si>
    <t>3.20.1.2</t>
  </si>
  <si>
    <t>3.20.1.3</t>
  </si>
  <si>
    <t>3.20.1.4</t>
  </si>
  <si>
    <t>3.20.1.5</t>
  </si>
  <si>
    <t>3.20.2</t>
  </si>
  <si>
    <t>3.20.2.1</t>
  </si>
  <si>
    <t>Ground Referencing</t>
  </si>
  <si>
    <t>Systems Greater than 100 kW only</t>
  </si>
  <si>
    <t>AC Disconnect</t>
  </si>
  <si>
    <t>Metering</t>
  </si>
  <si>
    <t>Electrical Component Schematic</t>
  </si>
  <si>
    <t>Contact Info and General</t>
  </si>
  <si>
    <t>3.0 One-Line Diagram</t>
  </si>
  <si>
    <t>4.0 Site Plan</t>
  </si>
  <si>
    <t>4.1</t>
  </si>
  <si>
    <t>4.2</t>
  </si>
  <si>
    <t>4.2.1</t>
  </si>
  <si>
    <t>4.2.2</t>
  </si>
  <si>
    <t>4.2.3</t>
  </si>
  <si>
    <t>4.3</t>
  </si>
  <si>
    <t>4.4</t>
  </si>
  <si>
    <t>4.5</t>
  </si>
  <si>
    <t>4.6</t>
  </si>
  <si>
    <t>4.7</t>
  </si>
  <si>
    <t>4.7.1</t>
  </si>
  <si>
    <t>4.7.2</t>
  </si>
  <si>
    <t>4.8</t>
  </si>
  <si>
    <t>4.8.1</t>
  </si>
  <si>
    <t>4.8.2</t>
  </si>
  <si>
    <t>4.8.3</t>
  </si>
  <si>
    <t>4.9</t>
  </si>
  <si>
    <t>4.10</t>
  </si>
  <si>
    <t>4.11</t>
  </si>
  <si>
    <t>5.0 Label Details</t>
  </si>
  <si>
    <t>5.1</t>
  </si>
  <si>
    <t>5.2</t>
  </si>
  <si>
    <t>5.3</t>
  </si>
  <si>
    <t>5.3.1</t>
  </si>
  <si>
    <t>5.4</t>
  </si>
  <si>
    <t>5.4.1</t>
  </si>
  <si>
    <t>5.5</t>
  </si>
  <si>
    <t>6.1</t>
  </si>
  <si>
    <t>6.2</t>
  </si>
  <si>
    <t>6.2.1</t>
  </si>
  <si>
    <t>6.3</t>
  </si>
  <si>
    <t>6.4</t>
  </si>
  <si>
    <t>6.5</t>
  </si>
  <si>
    <t>6.6</t>
  </si>
  <si>
    <t>6.6.1</t>
  </si>
  <si>
    <t>6.6.2</t>
  </si>
  <si>
    <t>6.6.3</t>
  </si>
  <si>
    <t>6.6.4</t>
  </si>
  <si>
    <t>6.6.5</t>
  </si>
  <si>
    <t>6.6.6</t>
  </si>
  <si>
    <t>6.6.7</t>
  </si>
  <si>
    <t>6.6.8</t>
  </si>
  <si>
    <t>6.7</t>
  </si>
  <si>
    <t>6.8</t>
  </si>
  <si>
    <t>6.9</t>
  </si>
  <si>
    <t>Testing Applicable to 3 phase systems only</t>
  </si>
  <si>
    <t>6.10</t>
  </si>
  <si>
    <t>6.10.1</t>
  </si>
  <si>
    <t>6.10.2</t>
  </si>
  <si>
    <t>6.11</t>
  </si>
  <si>
    <t>Status (Approved/Rejected)</t>
  </si>
  <si>
    <t>A note indicating that the design shall meet National Electric Code (NEC codes) requirements</t>
  </si>
  <si>
    <t>For systems larger than 250 kW, a signature from a professional engineer licensed in Minnesota is required.</t>
  </si>
  <si>
    <t xml:space="preserve">The drawing shall show the route from a public road to the Xcel Energy equipment </t>
  </si>
  <si>
    <t>6.6.6.1</t>
  </si>
  <si>
    <t>6.6.7.1</t>
  </si>
  <si>
    <t>        Address shall match the premise address for existing customer/services</t>
  </si>
  <si>
    <t>        Steps that verify DER system is ready to be energized</t>
  </si>
  <si>
    <t>        Steps to verify labeling for the Main Service Panel, DER Protection, DC Disconnect, AC disconnect, Utility AC disconnect, Production Meter (when applicable) and other relevant labelling and signage</t>
  </si>
  <si>
    <t>        Steps to energize the DER system</t>
  </si>
  <si>
    <t>        While in normal operation, steps to verify the voltages at the DER AC terminals are within 5% of the combined DER AC voltage ratings and all LEDs, alarms, and/or LCD codes are “normal”</t>
  </si>
  <si>
    <t>        While in normal operation, steps to verify that all DER units are operational and producing power</t>
  </si>
  <si>
    <t>        Using a voltmeter, verify the voltage at the inverter side of the AC disconnect has dropped to zero</t>
  </si>
  <si>
    <t>        Using an ammeter or the DER’s display/metering, verify the DER has ceased to energize within two seconds. For three phase systems, three phase monitoring may be required.</t>
  </si>
  <si>
    <t>        If ground referencing equipment is present, the open point must occur upstream of this device (upstream meaning in the direction of the utility source)</t>
  </si>
  <si>
    <t>        If the protection scheme used to detect the open phase uses devices other than the inverter (for instance, separate relaying to trip a VFI or breaker), the installer must provide an engineering analysis that demonstrates a non-detection zone does not exist when the output of the DER is 5% or greater of the aggregate inverter AC nameplate rating in the open-phase detection schemes. A step will be required to disable this setting during testing if an acceptable engineering analysis cannot be provided.</t>
  </si>
  <si>
    <t>        Name of Customer who owns service, the Xcel Energy “customer of record” for existing services</t>
  </si>
  <si>
    <t>        Installation premise address shall match application address</t>
  </si>
  <si>
    <t>        Application OID, SRC, or case number assigned to the project</t>
  </si>
  <si>
    <t>        A note stating “All testing shall be performed by qualified personnel”</t>
  </si>
  <si>
    <t>        The procedure shall provide steps to verify fixed power factor settings for each inverter meet the project requirements</t>
  </si>
  <si>
    <t>        The unintentional islanding test shall at minimum contain the following steps:</t>
  </si>
  <si>
    <t>        Verify DER LEDs, alarms, and/or LCD codes are appropriate for loss of Utility source</t>
  </si>
  <si>
    <t>        Steps to restore the lost Utility source shall be listed</t>
  </si>
  <si>
    <t>        A step to verify that the inverter system delays five (5) minutes before resuming power output after the Utility source is restored shall be listed</t>
  </si>
  <si>
    <t>        For three-phase systems, steps to simulate an open phase condition from the utility shall be included. The device used to create an open phase shall be clearly identified in the procedure.</t>
  </si>
  <si>
    <t>        Steps to verify voltage and current are to be listed for the open-phase test. Location of measurement points shall be identified.</t>
  </si>
  <si>
    <t>         When an Energy Storage System (ESS) is present, include a label stating that an ESS is present and equipped with an auto-transfer switch</t>
  </si>
  <si>
    <t>         When multiple DER units are present,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t>
  </si>
  <si>
    <t>        Labels shall be weatherproof, durable and permanently mounted</t>
  </si>
  <si>
    <t>        Labels shall demonstrate or state compliance with NEC 690</t>
  </si>
  <si>
    <t>        Include label “Utility AC Disconnect”, or similar</t>
  </si>
  <si>
    <t>        When multiple DER units are existing or proposed on a single service: equipment for each system shall be uniquely identified through labelling (i.e. “PV Unit 1 of 2” or similar)</t>
  </si>
  <si>
    <t>        Installation address shall match application address</t>
  </si>
  <si>
    <t>        Installation address shall match the premise address for existing customer/services</t>
  </si>
  <si>
    <t>        For dedicated power production facility interconnection applications: GPS Coordinates in WGS 94 decimal degrees, with municipality and county are acceptable in place of an address when one has not yet been established by the county</t>
  </si>
  <si>
    <t>         The width of this road shall be indicated and cannot be less than 12 feet wide</t>
  </si>
  <si>
    <t>        Primary vs secondary interconnection shall be clearly noted and consistent with all other documentation</t>
  </si>
  <si>
    <t>        For dedicated power production facilities: when an overhead primary service interconnection is used, the customer pole shall be no less than 25’ from the Xcel Energy meter pole. Typical acceptable distance from the Xcel Energy meter pole to the customer pole is 40’</t>
  </si>
  <si>
    <t>         Type/winding configuration of ground referencing equipment</t>
  </si>
  <si>
    <t>         X0 value</t>
  </si>
  <si>
    <t>         X0/R0 ratio</t>
  </si>
  <si>
    <t>         Neutral current rating</t>
  </si>
  <si>
    <t>         Equipment fault withstand rating</t>
  </si>
  <si>
    <t>         The method of monitoring and tripping shall be shown on the one-line</t>
  </si>
  <si>
    <t>         Phases (single or three-phase inverters)</t>
  </si>
  <si>
    <t>         When present, customer owned meters shall be clearly noted as “provided by customer”</t>
  </si>
  <si>
    <t>         Details of the ground reference equipment required on the one-line:</t>
  </si>
  <si>
    <t>         Loss of ground referencing equipment shall immediately trip the DER system offline</t>
  </si>
  <si>
    <t>        Clearly note if inverter(s) are UL1741 certified</t>
  </si>
  <si>
    <t>        Ground referencing8 equipment shall be installed between the main service meter and production meter to provide a ground reference for the system</t>
  </si>
  <si>
    <t>         If the AC disconnect is not located within 10 feet of the main service meter, a label meeting all requirements of the “Label Details” section should be placed at the main service meter clearly showing the location of the AC Disconnect</t>
  </si>
  <si>
    <t>Pass QA</t>
  </si>
  <si>
    <t>Fail QA</t>
  </si>
  <si>
    <t>Training Notes</t>
  </si>
  <si>
    <t>        Steps to simulate the loss of utility source for the unintentional islanding test shall be</t>
  </si>
  <si>
    <t>Clearly identify the disconnection device being used to simulate this utility power outage</t>
  </si>
  <si>
    <t>Only customer-owned equipment shall be used for this verification. Xcel Energy will not provide special equipment for this verification. Xcel Energy provided meters shall not be used for this verification.</t>
  </si>
  <si>
    <t>For ground mounted systems: an access road is required to all Xcel Energy equipment, including production metering and Utility AC disconnects. For systems smaller than 100 kW, an exception may be sought for this requirement, based on equipment location and accessibility</t>
  </si>
  <si>
    <t>Review Notes (include condition Pass or auto reject)</t>
  </si>
  <si>
    <t>Must match SalesForce</t>
  </si>
  <si>
    <t>verify all necessary equipment is shown</t>
  </si>
  <si>
    <t>auto reject if not shown or shown incorrect, needs to be within 10' of meter</t>
  </si>
  <si>
    <t>Max DER output is combination of all inverters</t>
  </si>
  <si>
    <t>Needs to be stated as UL1741 listed or certified</t>
  </si>
  <si>
    <t>This will only be known if additional systems are shown on the one-line, if none shown this can be ignored</t>
  </si>
  <si>
    <t>Not working on these yet</t>
  </si>
  <si>
    <t>auxiliary is very rare so likely mark N/A, it may be seen on larger or tracking type systems</t>
  </si>
  <si>
    <t xml:space="preserve">Auto reject if loads shown between meter and inverter. </t>
  </si>
  <si>
    <t>If customer owns meter that needs to be stated and located on load side of utility production meter</t>
  </si>
  <si>
    <t>Address does not qualify as contact info, need e-mail or phone. Can conditionally approve with just address, but needs to be noted</t>
  </si>
  <si>
    <t>If driveway doesn't extend to meter location it is acceptable for access to be via walking for residential applications</t>
  </si>
  <si>
    <t>DO NOT NEED TO TEST PRINT - if you do print can be rejected if it doesn’t line up with 11x17 but not necessary</t>
  </si>
  <si>
    <t>This should be included but not always necessary as many smaller units don't have an adjustment for this. Use discretion</t>
  </si>
  <si>
    <t>As simple as just stating</t>
  </si>
  <si>
    <t>Can conditionally approve without this statement</t>
  </si>
  <si>
    <t>note how open point is identified and RPA (see 3.3) is on inverter side</t>
  </si>
  <si>
    <t>MUST SAY - voltage drops TO zero NOT near zero</t>
  </si>
  <si>
    <t>Must match SalesForce - Application Roles section under "Customer"</t>
  </si>
  <si>
    <t>Due Date</t>
  </si>
  <si>
    <t>breaker or fuse</t>
  </si>
  <si>
    <t>Need distance to nearest cross street displayed if to far to be shown in plan, Map screenshot that shows DER location and nearest cross street is acceptable</t>
  </si>
  <si>
    <t>Main service entrance only needs to be shown when equipment is located in a building</t>
  </si>
  <si>
    <t>At a minimum between Utility AC Disconnect, Production meter, Main service protection, Main Service Meter</t>
  </si>
  <si>
    <t>If not shown here, but shown correctly on one-line - Conditionally Approve</t>
  </si>
  <si>
    <t>"Photovoltaic System Connected" "Dual Power Source connected" are some other common wordings</t>
  </si>
  <si>
    <t>Ensure this is only on the "Utility AC Disconnect"</t>
  </si>
  <si>
    <t>should be actual process not just a line stating energize DER, should include a 5 minute boot time for inverter or state "after the system is in normal operation" or similar</t>
  </si>
  <si>
    <t>Conditionally approved without, but add note that it is required</t>
  </si>
  <si>
    <t>Auto reject if not shown</t>
  </si>
  <si>
    <t>Production meter not provided for gardens</t>
  </si>
  <si>
    <t>can be marked with line (DER) and load (utility) notation - on CTs Dot is load side</t>
  </si>
  <si>
    <t>Need statement</t>
  </si>
  <si>
    <t>shown or stated</t>
  </si>
  <si>
    <t>can't have 2 poles closer than 25' apart</t>
  </si>
  <si>
    <t>okay to approve if more due to overheadpole restriction in 4.8.3</t>
  </si>
  <si>
    <r>
      <t xml:space="preserve">Required for solar*rewards program (identified under programs in salesforce) - </t>
    </r>
    <r>
      <rPr>
        <b/>
        <sz val="9"/>
        <color theme="1"/>
        <rFont val="Calibri"/>
        <family val="2"/>
        <scheme val="minor"/>
      </rPr>
      <t>See table on right</t>
    </r>
  </si>
  <si>
    <t>Solar*Rewards Community (Gardens) Don't require test procedure)</t>
  </si>
  <si>
    <t>should match open point described in testing procedure - conditional approval  if they don't match</t>
  </si>
  <si>
    <t>don't need to state on site plan - this is just verifying spacing</t>
  </si>
  <si>
    <t>Only check for step verifying labels, don’t need to check accuracy</t>
  </si>
  <si>
    <t>No longer req'd</t>
  </si>
  <si>
    <t xml:space="preserve">If used, indicate any control system, such as a power control system or plant controller. Give a functional description of the control system. </t>
  </si>
  <si>
    <t xml:space="preserve">A description of the system should be provided to help the reviewer understand the goals or purpose of the control system. If the control system relies on additional sensors, such CTs or PTs, these should be indicated and referenced in the description.  </t>
  </si>
  <si>
    <t>5.0</t>
  </si>
  <si>
    <t>Labels and Witness Test Procedure will need to be provided later in the process. Please refer to the TSM for these requirements.</t>
  </si>
  <si>
    <t>UNDER 40kW ONLY</t>
  </si>
  <si>
    <t>verify they are shown</t>
  </si>
  <si>
    <t>All Xcel-owned production meters shall be installed at an Xcel Energy standard voltage</t>
  </si>
  <si>
    <t>Existing Meter Type (From CRS)</t>
  </si>
  <si>
    <t>Note - may be 2 meters if existing DER onsite</t>
  </si>
  <si>
    <t>Additional Metering Review</t>
  </si>
  <si>
    <t>M1</t>
  </si>
  <si>
    <t>M2</t>
  </si>
  <si>
    <t>Production meter Required?</t>
  </si>
  <si>
    <t>Net Meter Swap Required?</t>
  </si>
  <si>
    <t>M3</t>
  </si>
  <si>
    <t>M4</t>
  </si>
  <si>
    <r>
      <t xml:space="preserve">This would be a seperately attached file - </t>
    </r>
    <r>
      <rPr>
        <b/>
        <sz val="9"/>
        <color theme="1"/>
        <rFont val="Calibri"/>
        <family val="2"/>
        <scheme val="minor"/>
      </rPr>
      <t>Auto-Reject if missing</t>
    </r>
  </si>
  <si>
    <t>M5</t>
  </si>
  <si>
    <t>M6</t>
  </si>
  <si>
    <t>Complete Meter Action</t>
  </si>
  <si>
    <t>Input Main Meter Swap and Production Meter install info</t>
  </si>
  <si>
    <t>If No, mark N/A, If yes put meter swap meter type (eg - 2S BD) in notes to right.  IF 2S meter 320A rated inlcude note in metering comments</t>
  </si>
  <si>
    <t>3.5</t>
  </si>
  <si>
    <t>3.6</t>
  </si>
  <si>
    <t>3.7 - Note</t>
  </si>
  <si>
    <t>3.8</t>
  </si>
  <si>
    <t>3.9</t>
  </si>
  <si>
    <t>Inverter or combiner voltage</t>
  </si>
  <si>
    <t>kVA or kW</t>
  </si>
  <si>
    <t>3-phase system could use 3 1-phase inverters</t>
  </si>
  <si>
    <t>3.18.1</t>
  </si>
  <si>
    <t>3.18.2</t>
  </si>
  <si>
    <t>3.18 - NOTE</t>
  </si>
  <si>
    <t>3.18.3</t>
  </si>
  <si>
    <t>3.21</t>
  </si>
  <si>
    <t>3.21.1</t>
  </si>
  <si>
    <t>3.21.2</t>
  </si>
  <si>
    <t>3.21.3</t>
  </si>
  <si>
    <t>3.21.4</t>
  </si>
  <si>
    <t>4.5 - Note</t>
  </si>
  <si>
    <t>Note to Include with Approval</t>
  </si>
  <si>
    <t>MUST INCLUDE THIS NOTE IN APPROVAL COMMENTS</t>
  </si>
  <si>
    <t>Additional Step for Xcel Purposes</t>
  </si>
  <si>
    <t>Ensure feeder number is populated</t>
  </si>
  <si>
    <t>If missing, mark no and this will get addressed during QC for now</t>
  </si>
  <si>
    <t xml:space="preserve">Name of Customer who owns/will own service, the Xcel Energy “customer of record” for existing services. </t>
  </si>
  <si>
    <t xml:space="preserve">Application case number assigned to the project. </t>
  </si>
  <si>
    <t xml:space="preserve">Clearly identify the Reference Point of Applicability (RPA) and denote the RPA where test and verification features will be applied in the written test procedure. </t>
  </si>
  <si>
    <t xml:space="preserve">Label and show the electrical layout of all equipment in-line between the main service meter and the DER system. </t>
  </si>
  <si>
    <t xml:space="preserve">The equipment listed shall include, at a minimum, switches, breakers, fuses, junction boxes, combiner boxes, protective devices, etc. </t>
  </si>
  <si>
    <t xml:space="preserve">All customer equipment shall be located on the customer-side of the main service meter. </t>
  </si>
  <si>
    <t xml:space="preserve">Main service meter and main service panel. </t>
  </si>
  <si>
    <t xml:space="preserve">Main service protection between DER and the utility. </t>
  </si>
  <si>
    <t xml:space="preserve">Protective device shall be provided immediately after the main service meter. </t>
  </si>
  <si>
    <t xml:space="preserve">The main service meter voltage and number of phases. If present, any transformer winding configuration and voltages. </t>
  </si>
  <si>
    <t xml:space="preserve">The aggregate AC capacity of each DER system. </t>
  </si>
  <si>
    <t xml:space="preserve">The AC Voltage of DER System. </t>
  </si>
  <si>
    <t xml:space="preserve">The expected individual kW AC nameplate rating of each inverter. </t>
  </si>
  <si>
    <t xml:space="preserve">Phases of inverters (single or three-phase inverters). </t>
  </si>
  <si>
    <t xml:space="preserve">Phases of DER system. </t>
  </si>
  <si>
    <t xml:space="preserve">When multiple DER units are existing or proposed on a single service: all DER systems shall be shown with proposed and existing marked. </t>
  </si>
  <si>
    <t xml:space="preserve">For energy storage systems: the mode of operation being applied for shall be clearly indicated. </t>
  </si>
  <si>
    <t xml:space="preserve">The circuit for auxiliary equipment power necessary to the operation of the DER shall be shown. </t>
  </si>
  <si>
    <t xml:space="preserve">Production meter, if applicable, with ownership noted (utility or customer). </t>
  </si>
  <si>
    <t xml:space="preserve">For single-phase installations, the meter shall be specified as 1-phase, 3-wire. </t>
  </si>
  <si>
    <t xml:space="preserve">For three-phase installations, the meter shall be specified as 3-phase, 4-wire. </t>
  </si>
  <si>
    <t xml:space="preserve">No loads or energy storage systems shall be connected on the DER side of the production meter. </t>
  </si>
  <si>
    <t xml:space="preserve">All Area EPS Operator-owned production meters shall be installed at an Area EPS Operator standard voltage. </t>
  </si>
  <si>
    <t xml:space="preserve">Production Meter CT polarity should be shown on the drawing as facing the PV, i.e. H1 of the CT faces the inverter such that DER is seen by the production meter as kWh delivered. </t>
  </si>
  <si>
    <t xml:space="preserve">Customer owned meters shall not be located on the DER side of the Xcel Energy production meter. </t>
  </si>
  <si>
    <t xml:space="preserve">For systems with an output of 200 amps or more: any Xcel-owned metering requiring PTs shall be shown with the PTs unfused. </t>
  </si>
  <si>
    <t xml:space="preserve">A visible-open type, lockable, and readily accessible AC disconnect for purposes of isolating the DER from the utility source labeled “Utility AC Disconnect,” “Photovoltaic Utility AC Disconnect,” or similar shall be shown. </t>
  </si>
  <si>
    <t xml:space="preserve">Other AC Disconnects shall not be labeled or identified as a “Utility” AC Disconnect, if applicable. </t>
  </si>
  <si>
    <t xml:space="preserve">For installations that require a Production Meter, the Utility AC Disconnect shall be located between the DER and production meter. </t>
  </si>
  <si>
    <t xml:space="preserve">For installations not requiring a Production Meter, the Utility AC Disconnect shall be located between the DER and main service. </t>
  </si>
  <si>
    <t xml:space="preserve">When multiple DER units are existing or proposed on a single service: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 </t>
  </si>
  <si>
    <t xml:space="preserve">Name of Customer who owns/will own the service, the Xcel Energy “customer of record” for existing services. </t>
  </si>
  <si>
    <t xml:space="preserve">Installation premise address. </t>
  </si>
  <si>
    <t xml:space="preserve">Installer name &amp; contact information. </t>
  </si>
  <si>
    <t xml:space="preserve">Application OID, SRC, or case number assigned to the project. </t>
  </si>
  <si>
    <t xml:space="preserve">Building(s) and streets shall be labelled. </t>
  </si>
  <si>
    <t xml:space="preserve">A minimum of one street should be included on the site plan, with the name, distance, and direction to the nearest cross street, if the nearest cross street is not shown. </t>
  </si>
  <si>
    <t xml:space="preserve">Compass direction (indicate North). </t>
  </si>
  <si>
    <t xml:space="preserve">Main service entrance, all meter locations, disconnects, transformers, proposed and existing DER systems. </t>
  </si>
  <si>
    <t xml:space="preserve">Distance shall be noted between this equipment. </t>
  </si>
  <si>
    <t xml:space="preserve">The Production Meter and AC Disconnect should be located together in a readily accessible location within 10’ of the main service meter. </t>
  </si>
  <si>
    <t xml:space="preserve">24/7 unescorted keyless access shall be provided to all Xcel Energy equipment. </t>
  </si>
  <si>
    <t xml:space="preserve">Position, distance and clearance concerns of overhead electric service lines and/or other utilities in relation to the PV panels shall be noted. </t>
  </si>
  <si>
    <t xml:space="preserve">A separate Detail View or Plan View may be required to clearly show location of meters, main service and AC disconnect, when the site layout is unclear or illegible when printed on an 11”x17” sheet. </t>
  </si>
  <si>
    <t xml:space="preserve">A label shall be included on Main Service Meter with the text “Generation System Connected”, or similar. </t>
  </si>
  <si>
    <t xml:space="preserve">If showing load side tap from main meter and lugs are indicated, lugs cannot be splicing type. </t>
  </si>
  <si>
    <t xml:space="preserve">If equipment inside an exception request is required. </t>
  </si>
  <si>
    <t>2S</t>
  </si>
  <si>
    <t>2S BD SWAP</t>
  </si>
  <si>
    <t>3S</t>
  </si>
  <si>
    <t>4S</t>
  </si>
  <si>
    <t>6S</t>
  </si>
  <si>
    <t>9S</t>
  </si>
  <si>
    <t>14S</t>
  </si>
  <si>
    <t>36S</t>
  </si>
  <si>
    <t>Verify Complete</t>
  </si>
  <si>
    <t>3S BD SWAP</t>
  </si>
  <si>
    <t>4S BD SWAP</t>
  </si>
  <si>
    <t>9S BD SWAP</t>
  </si>
  <si>
    <t>6S SWAP for 36S BD (Rewire 9S BD if possible)</t>
  </si>
  <si>
    <t>14S SWAP for 16S BD</t>
  </si>
  <si>
    <t>36S BD SWAP (Rewire 9S BD if possible)</t>
  </si>
  <si>
    <t>16S</t>
  </si>
  <si>
    <t>Existing meter</t>
  </si>
  <si>
    <t>Net Meter Swap</t>
  </si>
  <si>
    <t>Production meter</t>
  </si>
  <si>
    <t>2S CL320</t>
  </si>
  <si>
    <t>2S CL320 BD SWAP</t>
  </si>
  <si>
    <t>Click the button to copy the highlighted cell below and then paste into approval/rejection notes on SF.</t>
  </si>
  <si>
    <t xml:space="preserve">IF ESS, a declaration of storage is required. </t>
  </si>
  <si>
    <t>2S Indoors</t>
  </si>
  <si>
    <t>2S CL320 Indoors</t>
  </si>
  <si>
    <t>3S Indoors</t>
  </si>
  <si>
    <t>4S Indoors</t>
  </si>
  <si>
    <t>6S Indoors</t>
  </si>
  <si>
    <t>9S Indoors</t>
  </si>
  <si>
    <t>14S Indoors</t>
  </si>
  <si>
    <t>36S Indoors</t>
  </si>
  <si>
    <t>2S BD Existing</t>
  </si>
  <si>
    <t>2S CL320 BD Existing</t>
  </si>
  <si>
    <t>3S BD Existing</t>
  </si>
  <si>
    <t>4S BD Existing</t>
  </si>
  <si>
    <t>6S BD Existing</t>
  </si>
  <si>
    <t>9S BD Existing</t>
  </si>
  <si>
    <t>14S BD Existing</t>
  </si>
  <si>
    <t>36S BD Existing</t>
  </si>
  <si>
    <t>2S BD Existing (No swap required)</t>
  </si>
  <si>
    <t>2S CL320 BD Existing (No swap required)</t>
  </si>
  <si>
    <t>3S BD Existing (No swap required)</t>
  </si>
  <si>
    <t>4S BD Existing (No swap required)</t>
  </si>
  <si>
    <t>6S BD Existing (No swap required)</t>
  </si>
  <si>
    <t>9S BD Existing (No swap required)</t>
  </si>
  <si>
    <t>14S BD Existing (No swap required)</t>
  </si>
  <si>
    <t>36S BD Existing (No swap required)</t>
  </si>
  <si>
    <t>16S BD SWAP</t>
  </si>
  <si>
    <t>16S BD Existing</t>
  </si>
  <si>
    <t>16S BD Existing (No swap required)</t>
  </si>
  <si>
    <t>16S Indoors</t>
  </si>
  <si>
    <t xml:space="preserve"> 16S [IF NO CT on PM - most common] 9S [IF CT on PM]</t>
  </si>
  <si>
    <t>Note: If the configuration is 2B or 2C verify the “Storage Charge Source” in Exhibit B. If it just says solar it should be 2B, if it says both solar and utility it would be 2C. This is a conditional approval if they say 2C instead of 2B. If the ESS is a Tesla Powerwall, verify that the “Storage Charge Source” in Exhibit B states that it is charged from both the Utility and Solar. This is an auto-reject.</t>
  </si>
  <si>
    <t xml:space="preserve">If the AC disconnect or Production Meter is not located within 10 feet of the main service meter, a label meeting all requirements of the “Label Details” section should be placed at the main service meter clearly showing the location of the AC Disconnect. </t>
  </si>
  <si>
    <t>x</t>
  </si>
  <si>
    <t>A 2S BD SWAP on an existing 2S indoors meter does not count as altering the existing meter. An exception request is only needed when new equipement is being proposed indoors, not when altering existing indoor equipment. For example, if a new production meter is shown indoors, an exception request is required.</t>
  </si>
  <si>
    <r>
      <t xml:space="preserve">See notes on table below for more info. Polaris is common splicing lug that is not allowed - </t>
    </r>
    <r>
      <rPr>
        <b/>
        <sz val="9"/>
        <color theme="1"/>
        <rFont val="Calibri"/>
        <family val="2"/>
        <scheme val="minor"/>
      </rPr>
      <t>Auto-Reject</t>
    </r>
  </si>
  <si>
    <t>If No, mark N/A mark "NEX" in production meter needed, If yes put  meter type (eg - 2S) in notes to right.
If 2S Main Service Meter Production Meter will be 2S</t>
  </si>
  <si>
    <t>Language should be "visible-open", "visible blade" or similar, rather than just "visible."</t>
  </si>
  <si>
    <t>Remove "owned" but keep "Utility." The "utility" note is to indicate accessibility for use by the utility, not ownership.</t>
  </si>
  <si>
    <t>3.11 - Note</t>
  </si>
  <si>
    <t>Verify inverter listed on oneline matches what is listed on Salesforce.</t>
  </si>
  <si>
    <t>Inverter details can be found in the 'Application Assests' section in Salesforce.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</si>
</sst>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1"/>
      <name val="Calibri"/>
      <family val="2"/>
      <scheme val="minor"/>
    </font>
    <font>
      <sz val="9"/>
      <color theme="1"/>
      <name val="Calibri"/>
      <family val="2"/>
      <scheme val="minor"/>
    </font>
    <font>
      <b/>
      <sz val="9"/>
      <color theme="1"/>
      <name val="Calibri"/>
      <family val="2"/>
      <scheme val="minor"/>
    </font>
    <font>
      <b/>
      <sz val="12"/>
      <color theme="1"/>
      <name val="Calibri"/>
      <family val="2"/>
      <scheme val="minor"/>
    </font>
    <font>
      <b/>
      <sz val="11"/>
      <name val="Calibri"/>
      <family val="2"/>
      <scheme val="minor"/>
    </font>
    <font>
      <sz val="11"/>
      <color rgb="FFFF0000"/>
      <name val="Calibri"/>
      <family val="2"/>
      <scheme val="minor"/>
    </font>
    <font>
      <b/>
      <sz val="16"/>
      <color theme="1"/>
      <name val="Calibri"/>
      <family val="2"/>
      <scheme val="minor"/>
    </font>
    <font>
      <sz val="11"/>
      <color rgb="FF000000"/>
      <name val="Calibri"/>
      <family val="2"/>
    </font>
    <font>
      <sz val="11"/>
      <color theme="0"/>
      <name val="Calibri"/>
      <family val="2"/>
      <scheme val="minor"/>
    </font>
    <font>
      <sz val="8"/>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s>
  <cellStyleXfs count="1">
    <xf numFmtId="0" fontId="0" fillId="0" borderId="0"/>
  </cellStyleXfs>
  <cellXfs count="113">
    <xf numFmtId="0" fontId="0" fillId="0" borderId="0" xfId="0"/>
    <xf numFmtId="0" fontId="1" fillId="0" borderId="0" xfId="0" applyFont="1"/>
    <xf numFmtId="0" fontId="1" fillId="2" borderId="1" xfId="0" applyFont="1" applyFill="1" applyBorder="1"/>
    <xf numFmtId="0" fontId="0" fillId="0" borderId="0" xfId="0" applyAlignment="1">
      <alignment horizontal="center"/>
    </xf>
    <xf numFmtId="0" fontId="0" fillId="0" borderId="1" xfId="0" applyBorder="1" applyAlignment="1">
      <alignment horizontal="center" wrapText="1"/>
    </xf>
    <xf numFmtId="0" fontId="0" fillId="4" borderId="0" xfId="0" applyFill="1" applyAlignment="1">
      <alignment wrapText="1"/>
    </xf>
    <xf numFmtId="0" fontId="0" fillId="3" borderId="0" xfId="0" applyFill="1" applyAlignment="1">
      <alignment wrapText="1"/>
    </xf>
    <xf numFmtId="0" fontId="0" fillId="0" borderId="0" xfId="0" applyAlignment="1">
      <alignment wrapText="1"/>
    </xf>
    <xf numFmtId="0" fontId="0" fillId="0" borderId="1" xfId="0" applyBorder="1" applyAlignment="1">
      <alignment wrapText="1"/>
    </xf>
    <xf numFmtId="14" fontId="0" fillId="4" borderId="1" xfId="0" applyNumberFormat="1" applyFill="1" applyBorder="1" applyAlignment="1">
      <alignment horizontal="left"/>
    </xf>
    <xf numFmtId="0" fontId="1" fillId="2" borderId="2" xfId="0" applyFont="1" applyFill="1" applyBorder="1" applyAlignment="1">
      <alignment horizontal="center"/>
    </xf>
    <xf numFmtId="0" fontId="0" fillId="3" borderId="11" xfId="0" applyFill="1" applyBorder="1" applyAlignment="1"/>
    <xf numFmtId="14" fontId="0" fillId="3" borderId="12" xfId="0" applyNumberFormat="1" applyFill="1" applyBorder="1" applyAlignment="1"/>
    <xf numFmtId="0" fontId="0" fillId="0" borderId="0" xfId="0" applyAlignment="1"/>
    <xf numFmtId="0" fontId="0" fillId="0" borderId="13" xfId="0" applyBorder="1" applyAlignment="1"/>
    <xf numFmtId="2" fontId="0" fillId="0" borderId="0" xfId="0" applyNumberFormat="1"/>
    <xf numFmtId="49" fontId="0" fillId="0" borderId="0" xfId="0" applyNumberFormat="1"/>
    <xf numFmtId="0" fontId="1" fillId="2" borderId="14" xfId="0" applyFont="1" applyFill="1" applyBorder="1" applyAlignment="1">
      <alignment horizontal="center"/>
    </xf>
    <xf numFmtId="0" fontId="1" fillId="4" borderId="14" xfId="0" applyFont="1" applyFill="1" applyBorder="1" applyAlignment="1">
      <alignment horizontal="center" vertical="center"/>
    </xf>
    <xf numFmtId="0" fontId="0" fillId="0" borderId="14" xfId="0" applyBorder="1" applyAlignment="1">
      <alignment wrapText="1"/>
    </xf>
    <xf numFmtId="14" fontId="1" fillId="3" borderId="12" xfId="0" applyNumberFormat="1" applyFont="1" applyFill="1" applyBorder="1" applyAlignment="1">
      <alignment horizontal="center" vertical="center"/>
    </xf>
    <xf numFmtId="0" fontId="3" fillId="0" borderId="1" xfId="0" applyFont="1" applyBorder="1" applyAlignment="1">
      <alignment horizontal="center" vertical="center" wrapText="1"/>
    </xf>
    <xf numFmtId="0" fontId="0" fillId="4" borderId="1" xfId="0" applyFill="1" applyBorder="1" applyAlignment="1">
      <alignment horizontal="center" wrapText="1"/>
    </xf>
    <xf numFmtId="0" fontId="0" fillId="4" borderId="14" xfId="0" applyFill="1" applyBorder="1" applyAlignment="1">
      <alignment horizontal="center" wrapText="1"/>
    </xf>
    <xf numFmtId="14" fontId="0" fillId="0" borderId="0" xfId="0" applyNumberFormat="1" applyFill="1" applyBorder="1" applyAlignment="1">
      <alignment horizontal="left"/>
    </xf>
    <xf numFmtId="49" fontId="6" fillId="0" borderId="1" xfId="0" applyNumberFormat="1" applyFont="1" applyBorder="1" applyAlignment="1">
      <alignment horizontal="center" vertical="center" wrapText="1"/>
    </xf>
    <xf numFmtId="49" fontId="6" fillId="0" borderId="5" xfId="0" applyNumberFormat="1" applyFont="1" applyBorder="1" applyAlignment="1">
      <alignment horizontal="center" vertical="center" wrapText="1"/>
    </xf>
    <xf numFmtId="49" fontId="1" fillId="0" borderId="5" xfId="0" applyNumberFormat="1" applyFont="1" applyBorder="1" applyAlignment="1">
      <alignment horizontal="center" vertical="center" wrapText="1"/>
    </xf>
    <xf numFmtId="49" fontId="1"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wrapText="1"/>
    </xf>
    <xf numFmtId="49" fontId="1" fillId="0" borderId="14" xfId="0" applyNumberFormat="1" applyFont="1" applyBorder="1" applyAlignment="1">
      <alignment horizontal="center" vertical="center" wrapText="1"/>
    </xf>
    <xf numFmtId="49" fontId="1" fillId="0" borderId="1" xfId="0" applyNumberFormat="1" applyFont="1" applyBorder="1" applyAlignment="1">
      <alignment horizontal="center" wrapText="1"/>
    </xf>
    <xf numFmtId="0" fontId="0" fillId="3" borderId="1" xfId="0" applyFill="1" applyBorder="1" applyAlignment="1">
      <alignment horizontal="center" wrapText="1"/>
    </xf>
    <xf numFmtId="0" fontId="0" fillId="3" borderId="1" xfId="0" applyFill="1" applyBorder="1" applyAlignment="1">
      <alignment wrapText="1"/>
    </xf>
    <xf numFmtId="0" fontId="0" fillId="3" borderId="0" xfId="0" applyFill="1" applyBorder="1" applyAlignment="1">
      <alignment wrapText="1"/>
    </xf>
    <xf numFmtId="0" fontId="3" fillId="2" borderId="5" xfId="0" applyFont="1" applyFill="1" applyBorder="1" applyAlignment="1">
      <alignment vertical="center" wrapText="1"/>
    </xf>
    <xf numFmtId="0" fontId="3" fillId="2" borderId="7" xfId="0" applyFont="1" applyFill="1" applyBorder="1" applyAlignment="1">
      <alignment vertical="center" wrapText="1"/>
    </xf>
    <xf numFmtId="0" fontId="3" fillId="2" borderId="6" xfId="0" applyFont="1" applyFill="1" applyBorder="1" applyAlignment="1">
      <alignment vertical="center" wrapText="1"/>
    </xf>
    <xf numFmtId="0" fontId="3" fillId="2" borderId="1" xfId="0" applyFont="1" applyFill="1" applyBorder="1" applyAlignment="1">
      <alignment horizontal="center" vertical="center" wrapText="1"/>
    </xf>
    <xf numFmtId="0" fontId="0" fillId="2" borderId="1" xfId="0" applyFill="1" applyBorder="1" applyAlignment="1">
      <alignment horizontal="center" wrapText="1"/>
    </xf>
    <xf numFmtId="0" fontId="0" fillId="2" borderId="1" xfId="0" applyFill="1" applyBorder="1" applyAlignment="1">
      <alignment wrapText="1"/>
    </xf>
    <xf numFmtId="49" fontId="4" fillId="2" borderId="1" xfId="0" applyNumberFormat="1"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8" fillId="5" borderId="0" xfId="0" applyFont="1" applyFill="1" applyAlignment="1">
      <alignment horizontal="center" vertical="center" wrapText="1"/>
    </xf>
    <xf numFmtId="0" fontId="3" fillId="0" borderId="1" xfId="0" applyFont="1" applyBorder="1" applyAlignment="1">
      <alignment horizontal="center" vertical="center" wrapText="1"/>
    </xf>
    <xf numFmtId="49" fontId="1" fillId="0" borderId="1" xfId="0" applyNumberFormat="1" applyFont="1" applyFill="1" applyBorder="1" applyAlignment="1">
      <alignment horizontal="center" vertical="center" wrapText="1"/>
    </xf>
    <xf numFmtId="0" fontId="3" fillId="0" borderId="1" xfId="0" applyFont="1" applyFill="1" applyBorder="1" applyAlignment="1">
      <alignment horizontal="center" vertical="center" wrapText="1"/>
    </xf>
    <xf numFmtId="49" fontId="4" fillId="0" borderId="1" xfId="0" applyNumberFormat="1"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49" fontId="1" fillId="5" borderId="1" xfId="0" applyNumberFormat="1" applyFont="1" applyFill="1" applyBorder="1" applyAlignment="1">
      <alignment horizontal="center" wrapText="1"/>
    </xf>
    <xf numFmtId="0" fontId="3" fillId="5" borderId="1" xfId="0" applyFont="1" applyFill="1" applyBorder="1" applyAlignment="1">
      <alignment horizontal="center" vertical="center" wrapText="1"/>
    </xf>
    <xf numFmtId="0" fontId="0" fillId="5" borderId="1" xfId="0" applyFill="1" applyBorder="1" applyAlignment="1">
      <alignment horizontal="center" wrapText="1"/>
    </xf>
    <xf numFmtId="0" fontId="0" fillId="5" borderId="1" xfId="0" applyFill="1" applyBorder="1" applyAlignment="1">
      <alignment wrapText="1"/>
    </xf>
    <xf numFmtId="0" fontId="0" fillId="5" borderId="0" xfId="0" applyFill="1"/>
    <xf numFmtId="49" fontId="1" fillId="0" borderId="1" xfId="0" applyNumberFormat="1" applyFont="1" applyFill="1" applyBorder="1" applyAlignment="1">
      <alignment horizontal="center" wrapText="1"/>
    </xf>
    <xf numFmtId="49" fontId="4" fillId="5" borderId="1" xfId="0" applyNumberFormat="1" applyFont="1" applyFill="1" applyBorder="1" applyAlignment="1">
      <alignment horizontal="center" vertical="center" wrapText="1"/>
    </xf>
    <xf numFmtId="0" fontId="0" fillId="0" borderId="0" xfId="0" applyFill="1"/>
    <xf numFmtId="14" fontId="0" fillId="7" borderId="0" xfId="0" applyNumberFormat="1" applyFill="1" applyBorder="1" applyAlignment="1">
      <alignment horizontal="left"/>
    </xf>
    <xf numFmtId="0" fontId="0" fillId="7" borderId="0" xfId="0" applyFill="1" applyAlignment="1">
      <alignment horizontal="center"/>
    </xf>
    <xf numFmtId="0" fontId="0" fillId="0" borderId="0" xfId="0" applyFill="1" applyAlignment="1">
      <alignment horizontal="center"/>
    </xf>
    <xf numFmtId="0" fontId="0" fillId="0" borderId="0" xfId="0" applyFill="1" applyAlignment="1">
      <alignment wrapText="1"/>
    </xf>
    <xf numFmtId="49" fontId="0" fillId="0" borderId="0" xfId="0" applyNumberFormat="1" applyFill="1"/>
    <xf numFmtId="0" fontId="0" fillId="0" borderId="0" xfId="0" applyFill="1" applyAlignment="1"/>
    <xf numFmtId="0" fontId="1" fillId="2" borderId="1" xfId="0" quotePrefix="1" applyNumberFormat="1" applyFont="1" applyFill="1" applyBorder="1" applyAlignment="1">
      <alignment horizontal="left"/>
    </xf>
    <xf numFmtId="0" fontId="0" fillId="6" borderId="0" xfId="0" applyNumberFormat="1" applyFill="1" applyBorder="1" applyAlignment="1">
      <alignment horizontal="left"/>
    </xf>
    <xf numFmtId="0" fontId="0" fillId="7" borderId="0" xfId="0" applyFill="1" applyAlignment="1">
      <alignment wrapText="1"/>
    </xf>
    <xf numFmtId="0" fontId="0" fillId="0" borderId="0" xfId="0" applyNumberFormat="1" applyAlignment="1">
      <alignment horizontal="center"/>
    </xf>
    <xf numFmtId="0" fontId="10" fillId="0" borderId="0" xfId="0" applyFont="1" applyFill="1" applyAlignment="1">
      <alignment horizontal="center"/>
    </xf>
    <xf numFmtId="0" fontId="2" fillId="0" borderId="0" xfId="0" applyFont="1" applyAlignment="1">
      <alignment horizontal="center" wrapText="1"/>
    </xf>
    <xf numFmtId="0" fontId="2"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 wrapText="1"/>
    </xf>
    <xf numFmtId="0" fontId="10" fillId="0" borderId="0" xfId="0" applyFont="1" applyAlignment="1">
      <alignment horizontal="center"/>
    </xf>
    <xf numFmtId="0" fontId="10" fillId="0" borderId="0" xfId="0" applyFont="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1" fillId="2" borderId="5" xfId="0" applyFont="1" applyFill="1" applyBorder="1" applyAlignment="1">
      <alignment horizontal="center"/>
    </xf>
    <xf numFmtId="0" fontId="1" fillId="2" borderId="6" xfId="0" applyFont="1" applyFill="1" applyBorder="1" applyAlignment="1">
      <alignment horizontal="center"/>
    </xf>
    <xf numFmtId="0" fontId="3" fillId="5" borderId="1" xfId="0" applyFont="1" applyFill="1" applyBorder="1" applyAlignment="1">
      <alignment horizontal="center" vertical="center" wrapText="1"/>
    </xf>
    <xf numFmtId="0" fontId="1" fillId="2" borderId="0" xfId="0" applyFont="1" applyFill="1" applyBorder="1" applyAlignment="1">
      <alignment horizontal="center"/>
    </xf>
    <xf numFmtId="0" fontId="1" fillId="2" borderId="13" xfId="0" applyFont="1" applyFill="1" applyBorder="1" applyAlignment="1">
      <alignment horizontal="center"/>
    </xf>
    <xf numFmtId="0" fontId="1" fillId="0" borderId="0" xfId="0" applyFont="1" applyFill="1" applyBorder="1" applyAlignment="1">
      <alignment horizontal="center"/>
    </xf>
    <xf numFmtId="0" fontId="1" fillId="0" borderId="13" xfId="0" applyFont="1" applyFill="1" applyBorder="1" applyAlignment="1">
      <alignment horizontal="center"/>
    </xf>
    <xf numFmtId="0" fontId="1" fillId="4" borderId="5" xfId="0" applyFont="1" applyFill="1" applyBorder="1" applyAlignment="1">
      <alignment horizontal="center" vertical="center"/>
    </xf>
    <xf numFmtId="0" fontId="1" fillId="4" borderId="7" xfId="0" applyFont="1" applyFill="1" applyBorder="1" applyAlignment="1">
      <alignment horizontal="center" vertical="center"/>
    </xf>
    <xf numFmtId="0" fontId="1" fillId="4" borderId="6" xfId="0" applyFont="1" applyFill="1" applyBorder="1" applyAlignment="1">
      <alignment horizontal="center" vertical="center"/>
    </xf>
    <xf numFmtId="0" fontId="1" fillId="2" borderId="5" xfId="0" applyFont="1" applyFill="1" applyBorder="1" applyAlignment="1">
      <alignment horizontal="center" wrapText="1"/>
    </xf>
    <xf numFmtId="0" fontId="1" fillId="2" borderId="6" xfId="0" applyFont="1" applyFill="1" applyBorder="1" applyAlignment="1">
      <alignment horizontal="center" wrapText="1"/>
    </xf>
    <xf numFmtId="0" fontId="1" fillId="2" borderId="14" xfId="0" applyFont="1" applyFill="1" applyBorder="1" applyAlignment="1">
      <alignment horizontal="center"/>
    </xf>
    <xf numFmtId="49" fontId="4" fillId="2" borderId="0" xfId="0" applyNumberFormat="1" applyFont="1" applyFill="1" applyBorder="1" applyAlignment="1">
      <alignment horizontal="center" vertical="center" wrapText="1"/>
    </xf>
    <xf numFmtId="49" fontId="5" fillId="2" borderId="2" xfId="0" applyNumberFormat="1" applyFont="1" applyFill="1" applyBorder="1" applyAlignment="1">
      <alignment horizontal="center" vertical="center" wrapText="1"/>
    </xf>
    <xf numFmtId="49" fontId="5" fillId="2" borderId="3" xfId="0" applyNumberFormat="1" applyFont="1" applyFill="1" applyBorder="1" applyAlignment="1">
      <alignment horizontal="center" vertical="center" wrapText="1"/>
    </xf>
    <xf numFmtId="49" fontId="5" fillId="2" borderId="4" xfId="0" applyNumberFormat="1" applyFont="1" applyFill="1" applyBorder="1" applyAlignment="1">
      <alignment horizontal="center" vertical="center" wrapText="1"/>
    </xf>
    <xf numFmtId="49" fontId="4" fillId="2" borderId="1" xfId="0" applyNumberFormat="1"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49" fontId="5" fillId="2" borderId="1" xfId="0" applyNumberFormat="1" applyFont="1" applyFill="1" applyBorder="1" applyAlignment="1">
      <alignment horizontal="center" vertical="center" wrapText="1"/>
    </xf>
    <xf numFmtId="0" fontId="7" fillId="2" borderId="5" xfId="0" applyFont="1" applyFill="1" applyBorder="1" applyAlignment="1">
      <alignment horizontal="center" wrapText="1"/>
    </xf>
    <xf numFmtId="0" fontId="0" fillId="2" borderId="7" xfId="0" applyFill="1" applyBorder="1" applyAlignment="1">
      <alignment horizontal="center" wrapText="1"/>
    </xf>
    <xf numFmtId="0" fontId="0" fillId="2" borderId="6" xfId="0" applyFill="1" applyBorder="1" applyAlignment="1">
      <alignment horizontal="center" wrapText="1"/>
    </xf>
    <xf numFmtId="0" fontId="3" fillId="2" borderId="1" xfId="0" applyFont="1" applyFill="1" applyBorder="1" applyAlignment="1">
      <alignment horizontal="center" vertical="center" wrapText="1"/>
    </xf>
    <xf numFmtId="0" fontId="0" fillId="2" borderId="5" xfId="0" applyFill="1" applyBorder="1" applyAlignment="1">
      <alignment horizontal="center" wrapText="1"/>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1" fillId="2" borderId="7" xfId="0" applyFont="1" applyFill="1" applyBorder="1" applyAlignment="1">
      <alignment horizontal="center" wrapText="1"/>
    </xf>
    <xf numFmtId="49" fontId="5" fillId="5" borderId="1" xfId="0" applyNumberFormat="1" applyFont="1" applyFill="1" applyBorder="1" applyAlignment="1">
      <alignment horizontal="center" vertical="center" wrapText="1"/>
    </xf>
    <xf numFmtId="0" fontId="3" fillId="0" borderId="1" xfId="0" applyFont="1" applyFill="1" applyBorder="1" applyAlignment="1">
      <alignment horizontal="center" vertical="center" wrapText="1"/>
    </xf>
  </cellXfs>
  <cellStyles count="1">
    <cellStyle name="Normal" xfId="0" builtinId="0"/>
  </cellStyles>
  <dxfs count="1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42583</xdr:colOff>
      <xdr:row>138</xdr:row>
      <xdr:rowOff>13447</xdr:rowOff>
    </xdr:from>
    <xdr:to>
      <xdr:col>3</xdr:col>
      <xdr:colOff>587030</xdr:colOff>
      <xdr:row>145</xdr:row>
      <xdr:rowOff>148851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95083" y="23311597"/>
          <a:ext cx="5792722" cy="1487954"/>
        </a:xfrm>
        <a:prstGeom prst="rect">
          <a:avLst/>
        </a:prstGeom>
      </xdr:spPr>
    </xdr:pic>
    <xdr:clientData/>
  </xdr:twoCellAnchor>
  <xdr:twoCellAnchor editAs="oneCell">
    <xdr:from>
      <xdr:col>1</xdr:col>
      <xdr:colOff>31937</xdr:colOff>
      <xdr:row>147</xdr:row>
      <xdr:rowOff>24092</xdr:rowOff>
    </xdr:from>
    <xdr:to>
      <xdr:col>7</xdr:col>
      <xdr:colOff>1215512</xdr:colOff>
      <xdr:row>170</xdr:row>
      <xdr:rowOff>17918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984437" y="25055792"/>
          <a:ext cx="11661075" cy="456582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952500</xdr:colOff>
          <xdr:row>1</xdr:row>
          <xdr:rowOff>104775</xdr:rowOff>
        </xdr:from>
        <xdr:to>
          <xdr:col>8</xdr:col>
          <xdr:colOff>0</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Copy Highlighted Cell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lteigengineers.sharepoint.com/sites/XcelDERSystemImpactStudies/Shared%20Documents/General/DER%20Reviews%20-%20NSP/Completeness%20Review%20Track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ptember 2020"/>
      <sheetName val="October 2020"/>
      <sheetName val="November 2020"/>
      <sheetName val="December 2020"/>
      <sheetName val="January 2021"/>
      <sheetName val="Feruary 2021"/>
      <sheetName val="March 2021"/>
      <sheetName val="April 2021"/>
      <sheetName val="May 2021"/>
      <sheetName val="June 2021"/>
      <sheetName val="July 2021"/>
      <sheetName val="August 2021"/>
      <sheetName val="September 2021"/>
      <sheetName val="October 2021"/>
      <sheetName val="November 2021"/>
      <sheetName val="December 2021"/>
      <sheetName val="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A3">
            <v>44522</v>
          </cell>
          <cell r="C3" t="str">
            <v>2S CL320 BD Existing</v>
          </cell>
          <cell r="G3" t="str">
            <v>Joe Nogo</v>
          </cell>
          <cell r="H3">
            <v>4653721</v>
          </cell>
        </row>
        <row r="4">
          <cell r="A4">
            <v>44522</v>
          </cell>
          <cell r="C4" t="str">
            <v>N/A</v>
          </cell>
          <cell r="G4" t="str">
            <v>Joe Nogo</v>
          </cell>
          <cell r="H4">
            <v>4714713</v>
          </cell>
        </row>
        <row r="5">
          <cell r="A5">
            <v>44522</v>
          </cell>
          <cell r="C5" t="str">
            <v>2S</v>
          </cell>
          <cell r="G5" t="str">
            <v>Joe Nogo</v>
          </cell>
          <cell r="H5">
            <v>4445477</v>
          </cell>
        </row>
        <row r="6">
          <cell r="A6">
            <v>44522</v>
          </cell>
          <cell r="C6" t="str">
            <v>2S</v>
          </cell>
          <cell r="G6" t="str">
            <v>Joe Nogo</v>
          </cell>
          <cell r="H6">
            <v>4596896</v>
          </cell>
        </row>
        <row r="7">
          <cell r="A7">
            <v>44522</v>
          </cell>
          <cell r="C7" t="str">
            <v>2S</v>
          </cell>
          <cell r="G7" t="str">
            <v>Joe Nogo</v>
          </cell>
          <cell r="H7">
            <v>4614825</v>
          </cell>
        </row>
        <row r="8">
          <cell r="A8">
            <v>44522</v>
          </cell>
          <cell r="C8" t="str">
            <v>2S</v>
          </cell>
          <cell r="G8" t="str">
            <v>Joe Nogo</v>
          </cell>
          <cell r="H8">
            <v>4640794</v>
          </cell>
        </row>
        <row r="9">
          <cell r="A9">
            <v>44522</v>
          </cell>
          <cell r="C9" t="str">
            <v>2S</v>
          </cell>
          <cell r="G9" t="str">
            <v>Joe Nogo</v>
          </cell>
          <cell r="H9">
            <v>4441183</v>
          </cell>
        </row>
        <row r="10">
          <cell r="A10">
            <v>44522</v>
          </cell>
          <cell r="C10" t="str">
            <v>Verify Complete</v>
          </cell>
          <cell r="G10" t="str">
            <v>Joe Nogo</v>
          </cell>
          <cell r="H10">
            <v>4509396</v>
          </cell>
        </row>
        <row r="11">
          <cell r="A11">
            <v>44522</v>
          </cell>
          <cell r="C11" t="str">
            <v>Verify Complete</v>
          </cell>
          <cell r="G11" t="str">
            <v>Joe Nogo</v>
          </cell>
          <cell r="H11">
            <v>4508722</v>
          </cell>
        </row>
        <row r="12">
          <cell r="A12">
            <v>44522</v>
          </cell>
          <cell r="C12" t="str">
            <v>Verify Complete</v>
          </cell>
          <cell r="G12" t="str">
            <v>Joe Nogo</v>
          </cell>
          <cell r="H12">
            <v>4668878</v>
          </cell>
        </row>
        <row r="13">
          <cell r="A13">
            <v>44523</v>
          </cell>
          <cell r="C13" t="str">
            <v>2S</v>
          </cell>
          <cell r="G13" t="str">
            <v>Joe Nogo</v>
          </cell>
          <cell r="H13">
            <v>4745542</v>
          </cell>
        </row>
        <row r="14">
          <cell r="A14">
            <v>44523</v>
          </cell>
          <cell r="C14" t="str">
            <v>2S</v>
          </cell>
          <cell r="G14" t="str">
            <v>Joe Nogo</v>
          </cell>
          <cell r="H14">
            <v>4719934</v>
          </cell>
        </row>
        <row r="15">
          <cell r="A15">
            <v>44523</v>
          </cell>
          <cell r="C15" t="str">
            <v>2S</v>
          </cell>
          <cell r="G15" t="str">
            <v>Joe Nogo</v>
          </cell>
          <cell r="H15">
            <v>4699535</v>
          </cell>
        </row>
        <row r="16">
          <cell r="A16">
            <v>44523</v>
          </cell>
          <cell r="C16" t="str">
            <v>2S</v>
          </cell>
          <cell r="G16" t="str">
            <v>Joe Nogo</v>
          </cell>
          <cell r="H16">
            <v>4732765</v>
          </cell>
        </row>
        <row r="17">
          <cell r="A17">
            <v>44523</v>
          </cell>
          <cell r="C17" t="str">
            <v>2S</v>
          </cell>
          <cell r="G17" t="str">
            <v>Joe Nogo</v>
          </cell>
          <cell r="H17">
            <v>4641212</v>
          </cell>
        </row>
        <row r="18">
          <cell r="A18">
            <v>44523</v>
          </cell>
          <cell r="C18" t="str">
            <v>2S</v>
          </cell>
          <cell r="G18" t="str">
            <v>Joe Nogo</v>
          </cell>
          <cell r="H18">
            <v>4651192</v>
          </cell>
        </row>
        <row r="19">
          <cell r="A19">
            <v>44523</v>
          </cell>
          <cell r="C19" t="str">
            <v>2S</v>
          </cell>
          <cell r="G19" t="str">
            <v>Joe Nogo</v>
          </cell>
          <cell r="H19">
            <v>4699804</v>
          </cell>
        </row>
        <row r="20">
          <cell r="A20">
            <v>44523</v>
          </cell>
          <cell r="C20" t="str">
            <v>9S</v>
          </cell>
          <cell r="G20" t="str">
            <v>Joe Nogo</v>
          </cell>
          <cell r="H20">
            <v>4722635</v>
          </cell>
        </row>
        <row r="21">
          <cell r="A21">
            <v>44530</v>
          </cell>
          <cell r="C21" t="str">
            <v>Verify Complete</v>
          </cell>
          <cell r="G21" t="str">
            <v>Joe Nogo</v>
          </cell>
          <cell r="H21">
            <v>4509422</v>
          </cell>
        </row>
        <row r="22">
          <cell r="A22">
            <v>44530</v>
          </cell>
          <cell r="C22" t="str">
            <v>N/A</v>
          </cell>
          <cell r="G22" t="str">
            <v>Joe Nogo</v>
          </cell>
          <cell r="H22">
            <v>4360273</v>
          </cell>
        </row>
        <row r="23">
          <cell r="A23">
            <v>44530</v>
          </cell>
          <cell r="C23" t="str">
            <v>Verify Complete</v>
          </cell>
          <cell r="G23" t="str">
            <v>Joe Nogo</v>
          </cell>
          <cell r="H23">
            <v>4474158</v>
          </cell>
        </row>
        <row r="24">
          <cell r="A24">
            <v>44530</v>
          </cell>
          <cell r="C24" t="str">
            <v>Verify Complete</v>
          </cell>
          <cell r="G24" t="str">
            <v>Joe Nogo</v>
          </cell>
          <cell r="H24">
            <v>4657482</v>
          </cell>
        </row>
        <row r="25">
          <cell r="A25">
            <v>44524</v>
          </cell>
          <cell r="C25" t="str">
            <v>2S</v>
          </cell>
          <cell r="G25" t="str">
            <v>Joe Nogo</v>
          </cell>
          <cell r="H25">
            <v>4742718</v>
          </cell>
        </row>
        <row r="26">
          <cell r="A26">
            <v>44524</v>
          </cell>
          <cell r="C26" t="str">
            <v>2S</v>
          </cell>
          <cell r="G26" t="str">
            <v>Joe Nogo</v>
          </cell>
          <cell r="H26">
            <v>4732696</v>
          </cell>
        </row>
        <row r="27">
          <cell r="A27">
            <v>44531</v>
          </cell>
          <cell r="C27" t="str">
            <v>Verify Complete</v>
          </cell>
          <cell r="G27" t="str">
            <v>Joe Nogo</v>
          </cell>
          <cell r="H27">
            <v>4710502</v>
          </cell>
        </row>
        <row r="28">
          <cell r="A28">
            <v>44531</v>
          </cell>
          <cell r="C28" t="str">
            <v>Verify Complete</v>
          </cell>
          <cell r="G28" t="str">
            <v>Joe Nogo</v>
          </cell>
          <cell r="H28">
            <v>4509569</v>
          </cell>
        </row>
        <row r="29">
          <cell r="A29">
            <v>44531</v>
          </cell>
          <cell r="C29" t="str">
            <v>Verify Complete</v>
          </cell>
          <cell r="H29">
            <v>4641150</v>
          </cell>
        </row>
        <row r="30">
          <cell r="A30">
            <v>44531</v>
          </cell>
          <cell r="C30" t="str">
            <v>Verify Complete</v>
          </cell>
          <cell r="H30">
            <v>4661741</v>
          </cell>
        </row>
        <row r="31">
          <cell r="A31">
            <v>44526</v>
          </cell>
          <cell r="C31" t="str">
            <v>2S</v>
          </cell>
          <cell r="G31" t="str">
            <v>Joe Nogo</v>
          </cell>
          <cell r="H31">
            <v>4745471</v>
          </cell>
        </row>
        <row r="32">
          <cell r="A32">
            <v>44529</v>
          </cell>
          <cell r="C32" t="str">
            <v>2S</v>
          </cell>
          <cell r="G32" t="str">
            <v>Joe Nogo</v>
          </cell>
          <cell r="H32">
            <v>4712381</v>
          </cell>
        </row>
        <row r="33">
          <cell r="A33">
            <v>44529</v>
          </cell>
          <cell r="C33" t="str">
            <v>N/A</v>
          </cell>
          <cell r="G33" t="str">
            <v>Joe Nogo</v>
          </cell>
          <cell r="H33">
            <v>4745530</v>
          </cell>
        </row>
        <row r="34">
          <cell r="A34">
            <v>44529</v>
          </cell>
          <cell r="C34" t="str">
            <v>N/A</v>
          </cell>
          <cell r="G34" t="str">
            <v>Joe Nogo</v>
          </cell>
          <cell r="H34">
            <v>4745587</v>
          </cell>
        </row>
        <row r="35">
          <cell r="A35">
            <v>44529</v>
          </cell>
          <cell r="C35" t="str">
            <v>2S</v>
          </cell>
          <cell r="G35" t="str">
            <v>Joe Nogo</v>
          </cell>
          <cell r="H35">
            <v>4746210</v>
          </cell>
        </row>
        <row r="36">
          <cell r="A36">
            <v>44530</v>
          </cell>
          <cell r="C36" t="str">
            <v>2S</v>
          </cell>
          <cell r="G36" t="str">
            <v>Joe Nogo</v>
          </cell>
          <cell r="H36">
            <v>4751268</v>
          </cell>
        </row>
        <row r="37">
          <cell r="A37">
            <v>44531</v>
          </cell>
          <cell r="C37" t="str">
            <v>2S</v>
          </cell>
          <cell r="G37" t="str">
            <v>Joe Nogo</v>
          </cell>
          <cell r="H37">
            <v>4733367</v>
          </cell>
        </row>
        <row r="38">
          <cell r="A38">
            <v>44531</v>
          </cell>
          <cell r="C38" t="str">
            <v>2S</v>
          </cell>
          <cell r="G38" t="str">
            <v>Joe Nogo</v>
          </cell>
          <cell r="H38">
            <v>4715764</v>
          </cell>
        </row>
        <row r="39">
          <cell r="A39">
            <v>44532</v>
          </cell>
          <cell r="C39" t="str">
            <v>2S</v>
          </cell>
          <cell r="G39" t="str">
            <v>Joe Nogo</v>
          </cell>
          <cell r="H39">
            <v>4725818</v>
          </cell>
        </row>
        <row r="40">
          <cell r="A40">
            <v>44532</v>
          </cell>
          <cell r="C40" t="str">
            <v>2S</v>
          </cell>
          <cell r="G40" t="str">
            <v>Joe Nogo</v>
          </cell>
          <cell r="H40">
            <v>4360869</v>
          </cell>
        </row>
        <row r="41">
          <cell r="A41">
            <v>44532</v>
          </cell>
          <cell r="C41" t="str">
            <v>N/A</v>
          </cell>
          <cell r="G41" t="str">
            <v>Joe Nogo</v>
          </cell>
          <cell r="H41">
            <v>4759791</v>
          </cell>
        </row>
      </sheetData>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168"/>
  <sheetViews>
    <sheetView tabSelected="1" zoomScaleNormal="100" workbookViewId="0">
      <selection activeCell="E13" sqref="E13"/>
    </sheetView>
  </sheetViews>
  <sheetFormatPr defaultColWidth="9.140625" defaultRowHeight="15" x14ac:dyDescent="0.25"/>
  <cols>
    <col min="1" max="1" width="14.28515625" customWidth="1"/>
    <col min="2" max="2" width="15.85546875" style="7" customWidth="1"/>
    <col min="3" max="3" width="62.85546875" style="3" customWidth="1"/>
    <col min="4" max="4" width="58.140625" style="3" customWidth="1"/>
    <col min="5" max="5" width="6.85546875" style="3" customWidth="1"/>
    <col min="6" max="6" width="6.5703125" style="3" customWidth="1"/>
    <col min="7" max="7" width="6.85546875" style="3" customWidth="1"/>
    <col min="8" max="8" width="49.140625" style="7" customWidth="1"/>
    <col min="9" max="9" width="17.85546875" customWidth="1"/>
    <col min="10" max="10" width="12.42578125" style="3" customWidth="1"/>
    <col min="11" max="11" width="120.140625" customWidth="1"/>
  </cols>
  <sheetData>
    <row r="1" spans="1:11" ht="30" x14ac:dyDescent="0.25">
      <c r="A1" s="79" t="s">
        <v>10</v>
      </c>
      <c r="B1" s="80"/>
      <c r="C1" s="65"/>
      <c r="D1" s="5" t="s">
        <v>7</v>
      </c>
      <c r="H1" s="44" t="s">
        <v>200</v>
      </c>
    </row>
    <row r="2" spans="1:11" x14ac:dyDescent="0.25">
      <c r="A2" s="79" t="s">
        <v>11</v>
      </c>
      <c r="B2" s="80" t="s">
        <v>11</v>
      </c>
      <c r="C2" s="2" t="str" cm="1">
        <f t="array" ref="C2">IF(C1="","",LOOKUP(2,1/('[1]December 2021'!$H$3:$H$450=C1),'[1]December 2021'!$G$3:$G$450))</f>
        <v/>
      </c>
      <c r="D2" s="6" t="s">
        <v>8</v>
      </c>
    </row>
    <row r="3" spans="1:11" x14ac:dyDescent="0.25">
      <c r="A3" s="79" t="s">
        <v>203</v>
      </c>
      <c r="B3" s="80"/>
      <c r="C3" s="9" t="str" cm="1">
        <f t="array" ref="C3">IF(C1="","",LOOKUP(2,1/('[1]December 2021'!$H$3:$H$450=C1),'[1]December 2021'!$C$3:$C$450))</f>
        <v/>
      </c>
      <c r="D3" s="24" t="s">
        <v>204</v>
      </c>
      <c r="G3" s="68"/>
    </row>
    <row r="4" spans="1:11" x14ac:dyDescent="0.25">
      <c r="A4" s="79" t="s">
        <v>173</v>
      </c>
      <c r="B4" s="80" t="s">
        <v>0</v>
      </c>
      <c r="C4" s="9" t="str" cm="1">
        <f t="array" ref="C4">IF(C1="","",LOOKUP(2,1/('[1]December 2021'!$H$3:$H$450=C1),'[1]December 2021'!$A$3:$A$450))</f>
        <v/>
      </c>
      <c r="D4" s="59" t="s">
        <v>309</v>
      </c>
      <c r="E4" s="60"/>
      <c r="F4" s="60"/>
      <c r="G4" s="60"/>
      <c r="H4" s="67"/>
    </row>
    <row r="5" spans="1:11" x14ac:dyDescent="0.25">
      <c r="A5" s="89" t="s">
        <v>94</v>
      </c>
      <c r="B5" s="90"/>
      <c r="C5" s="9" t="str">
        <f>IF(C1="","",IF(NOT(OR(COUNTA(E13:E89),COUNTA(E127:E134))),"",IF(OR(COUNTIF(F13:F89,"CA")&gt;0,COUNTIF(F127:F134,"CA")&gt;0),"CA",IF(NOT(OR(COUNTA(F13:F89),COUNTA(F127:F134))),"Approved","Rejected"))))</f>
        <v/>
      </c>
      <c r="D5" s="66" t="e" cm="1">
        <f t="array" ref="D5">_xlfn.IFS(C5="Approved","This application has been approved."&amp;CHAR(10)&amp;CHAR(10)&amp;"Labels and Witness Test Procedure will need to be provided later in the process. Please refer to the TSM for these requirements.",OR(C5="CA",C5="Conditionally Approved"),"This application has been conditionally approved. Please note and correct the following moving forward: "&amp;CHAR(10)&amp;CHAR(10)&amp;K12&amp;IF(K12&lt;&gt;"",CHAR(10),"")&amp;K13&amp;IF(K13&lt;&gt;"",CHAR(10),"")&amp;K14&amp;IF(K14&lt;&gt;"",CHAR(10),"")&amp;K15&amp;IF(K15&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49&amp;IF(K49&lt;&gt;"",CHAR(10),"")&amp;K50&amp;IF(K50&lt;&gt;"",CHAR(10),"")&amp;K52&amp;IF(K52&lt;&gt;"",CHAR(10),"")&amp;K53&amp;IF(K53&lt;&gt;"",CHAR(10),"")&amp;K54&amp;IF(K54&lt;&gt;"",CHAR(10),"")&amp;K131&amp;IF(K131&lt;&gt;"",CHAR(10),"")&amp;IF(K12="",K66&amp;IF(K66&lt;&gt;"",CHAR(10),""),""&amp;CHAR(13)&amp;CHAR(13)&amp;K66&amp;CHAR(10))&amp;K67&amp;IF(K67&lt;&gt;"",CHAR(10),"")&amp;K68&amp;IF(K68&lt;&gt;"",CHAR(10),"")&amp;K72&amp;IF(K72&lt;&gt;"",CHAR(10),"")&amp;K73&amp;IF(K73&lt;&gt;"",CHAR(10),"")&amp;K74&amp;IF(K74&lt;&gt;"",CHAR(10),"")&amp;K75&amp;IF(K75&lt;&gt;"",CHAR(10),"")&amp;K76&amp;IF(K76&lt;&gt;"",CHAR(10),"")&amp;K81&amp;IF(K81&lt;&gt;"",CHAR(10),"")&amp;K82&amp;IF(K82&lt;&gt;"",CHAR(10),"")&amp;K85&amp;IF(K85&lt;&gt;"",CHAR(10),"")&amp;K86&amp;IF(K86&lt;&gt;"",CHAR(10),"")&amp;K87&amp;IF(K87&lt;&gt;"",CHAR(10),"")&amp;K88&amp;IF(K88&lt;&gt;"",CHAR(10),"")&amp;K89&amp;IF(K89&lt;&gt;"",CHAR(10),"")&amp;K130&amp;IF(K130&lt;&gt;"",CHAR(10),"")&amp;K132&amp;IF(K132&lt;&gt;"",CHAR(10),"")&amp;CHAR(10)&amp;CHAR(10)&amp;"Labels and Witness Test Procedure will need to be provided later in the process. Please refer to the TSM for these requirements.",C5="Rejected","This application has been rejected. Please correct the following before resubmitting: "&amp;CHAR(10)&amp;CHAR(10)&amp;K12&amp;IF(K12&lt;&gt;"",CHAR(10),"")&amp;K13&amp;IF(K13&lt;&gt;"",CHAR(10),"")&amp;K14&amp;IF(K14&lt;&gt;"",CHAR(10),"")&amp;K15&amp;IF(K15&lt;&gt;"",CHAR(10),"")&amp;K20&amp;IF(K20&lt;&gt;"",CHAR(10),"")&amp;K21&amp;IF(K21&lt;&gt;"",CHAR(10),"")&amp;K22&amp;IF(K22&lt;&gt;"",CHAR(10),"")&amp;K23&amp;IF(K23&lt;&gt;"",CHAR(10),"")&amp;K24&amp;IF(K24&lt;&gt;"",CHAR(10),"")&amp;K25&amp;IF(K25&lt;&gt;"",CHAR(10),"")&amp;K26&amp;IF(K26&lt;&gt;"",CHAR(10),"")&amp;K27&amp;IF(K27&lt;&gt;"",CHAR(10),"")&amp;K28&amp;IF(K28&lt;&gt;"",CHAR(10),"")&amp;K29&amp;IF(K29&lt;&gt;"",CHAR(10),"")&amp;K30&amp;IF(K30&lt;&gt;"",CHAR(10),"")&amp;K31&amp;IF(K31&lt;&gt;"",CHAR(10),"")&amp;K34&amp;IF(K34&lt;&gt;"",CHAR(10),"")&amp;K35&amp;IF(K35&lt;&gt;"",CHAR(10),"")&amp;K36&amp;IF(K36&lt;&gt;"",CHAR(10),"")&amp;K37&amp;IF(K37&lt;&gt;"",CHAR(10),"")&amp;K39&amp;IF(K39&lt;&gt;"",CHAR(10),"")&amp;K40&amp;IF(K40&lt;&gt;"",CHAR(10),"")&amp;K41&amp;IF(K41&lt;&gt;"",CHAR(10),"")&amp;K42&amp;IF(K42&lt;&gt;"",CHAR(10),"")&amp;K43&amp;IF(K43&lt;&gt;"",CHAR(10),"")&amp;K44&amp;IF(K44&lt;&gt;"",CHAR(10),"")&amp;K46&amp;IF(K46&lt;&gt;"",CHAR(10),"")&amp;K47&amp;IF(K47&lt;&gt;"",CHAR(10),"")&amp;K49&amp;IF(K49&lt;&gt;"",CHAR(10),"")&amp;K50&amp;IF(K50&lt;&gt;"",CHAR(10),"")&amp;K52&amp;IF(K52&lt;&gt;"",CHAR(10),"")&amp;K53&amp;IF(K53&lt;&gt;"",CHAR(10),"")&amp;K54&amp;IF(K54&lt;&gt;"",CHAR(10),"")&amp;K131&amp;IF(K131&lt;&gt;"",CHAR(10),"")&amp;IF(K12="",K66&amp;IF(K66&lt;&gt;"",CHAR(10),""),""&amp;CHAR(13)&amp;CHAR(13)&amp;K66&amp;CHAR(10))&amp;K67&amp;IF(K67&lt;&gt;"",CHAR(10),"")&amp;K68&amp;IF(K68&lt;&gt;"",CHAR(10),"")&amp;K72&amp;IF(K72&lt;&gt;"",CHAR(10),"")&amp;K73&amp;IF(K73&lt;&gt;"",CHAR(10),"")&amp;K74&amp;IF(K74&lt;&gt;"",CHAR(10),"")&amp;K75&amp;IF(K75&lt;&gt;"",CHAR(10),"")&amp;K76&amp;IF(K76&lt;&gt;"",CHAR(10),"")&amp;K81&amp;IF(K81&lt;&gt;"",CHAR(10),"")&amp;K82&amp;IF(K82&lt;&gt;"",CHAR(10),"")&amp;K85&amp;IF(K85&lt;&gt;"",CHAR(10),"")&amp;K86&amp;IF(K86&lt;&gt;"",CHAR(10),"")&amp;K87&amp;IF(K87&lt;&gt;"",CHAR(10),"")&amp;K88&amp;IF(K88&lt;&gt;"",CHAR(10),"")&amp;K89&amp;IF(K89&lt;&gt;"",CHAR(10),"")&amp;K130&amp;IF(K130&lt;&gt;"",CHAR(10),"")&amp;K132&amp;IF(K132&lt;&gt;"",CHAR(10),""))</f>
        <v>#N/A</v>
      </c>
      <c r="E5" s="61"/>
      <c r="F5" s="61"/>
      <c r="G5" s="61"/>
      <c r="H5" s="62"/>
      <c r="I5" s="58"/>
      <c r="J5" s="61"/>
      <c r="K5" s="58"/>
    </row>
    <row r="7" spans="1:11" ht="15.75" thickBot="1" x14ac:dyDescent="0.3">
      <c r="A7" s="82" t="s">
        <v>9</v>
      </c>
      <c r="B7" s="82"/>
      <c r="C7" s="82"/>
      <c r="D7" s="82"/>
      <c r="E7" s="82"/>
      <c r="F7" s="82"/>
      <c r="G7" s="82"/>
      <c r="H7" s="82"/>
      <c r="I7" s="82"/>
      <c r="J7" s="83"/>
    </row>
    <row r="8" spans="1:11" ht="15.75" thickBot="1" x14ac:dyDescent="0.3">
      <c r="A8" s="84"/>
      <c r="B8" s="84"/>
      <c r="C8" s="84"/>
      <c r="D8" s="84"/>
      <c r="E8" s="84"/>
      <c r="F8" s="84"/>
      <c r="G8" s="84"/>
      <c r="H8" s="85"/>
      <c r="I8" s="10" t="s">
        <v>1</v>
      </c>
      <c r="J8" s="11"/>
    </row>
    <row r="9" spans="1:11" s="1" customFormat="1" ht="15.75" thickBot="1" x14ac:dyDescent="0.3">
      <c r="A9" s="13"/>
      <c r="B9" s="7"/>
      <c r="C9" s="13"/>
      <c r="D9" s="13"/>
      <c r="E9" s="86" t="s">
        <v>13</v>
      </c>
      <c r="F9" s="87"/>
      <c r="G9" s="88"/>
      <c r="H9" s="14"/>
      <c r="I9" s="10" t="s">
        <v>2</v>
      </c>
      <c r="J9" s="12"/>
    </row>
    <row r="10" spans="1:11" ht="15.75" thickBot="1" x14ac:dyDescent="0.3">
      <c r="A10" s="17" t="s">
        <v>12</v>
      </c>
      <c r="B10" s="91" t="s">
        <v>6</v>
      </c>
      <c r="C10" s="91"/>
      <c r="D10" s="17" t="s">
        <v>148</v>
      </c>
      <c r="E10" s="18" t="s">
        <v>3</v>
      </c>
      <c r="F10" s="18" t="s">
        <v>4</v>
      </c>
      <c r="G10" s="18" t="s">
        <v>5</v>
      </c>
      <c r="H10" s="18" t="s">
        <v>153</v>
      </c>
      <c r="I10" s="20" t="s">
        <v>146</v>
      </c>
      <c r="J10" s="20" t="s">
        <v>147</v>
      </c>
    </row>
    <row r="11" spans="1:11" ht="16.5" thickBot="1" x14ac:dyDescent="0.3">
      <c r="A11" s="93" t="s">
        <v>42</v>
      </c>
      <c r="B11" s="94"/>
      <c r="C11" s="94"/>
      <c r="D11" s="94"/>
      <c r="E11" s="94"/>
      <c r="F11" s="94"/>
      <c r="G11" s="94"/>
      <c r="H11" s="94"/>
      <c r="I11" s="94"/>
      <c r="J11" s="95"/>
    </row>
    <row r="12" spans="1:11" x14ac:dyDescent="0.25">
      <c r="A12" s="92" t="s">
        <v>41</v>
      </c>
      <c r="B12" s="92"/>
      <c r="C12" s="105"/>
      <c r="D12" s="106"/>
      <c r="E12" s="106"/>
      <c r="F12" s="106"/>
      <c r="G12" s="106"/>
      <c r="H12" s="106"/>
      <c r="I12" s="106"/>
      <c r="J12" s="107"/>
      <c r="K12" t="str">
        <f>IF(OR(COUNTIF(F13:F54,"x")&gt;0,COUNTIF(F13:F54,"CA")&gt;0,COUNTIF(F131,"x")&gt;0,COUNTIF(F131,"CA")&gt;0),"One-Line:","")</f>
        <v/>
      </c>
    </row>
    <row r="13" spans="1:11" ht="27" customHeight="1" x14ac:dyDescent="0.25">
      <c r="A13" s="25">
        <v>3.1</v>
      </c>
      <c r="B13" s="78" t="s">
        <v>241</v>
      </c>
      <c r="C13" s="78"/>
      <c r="D13" s="21" t="s">
        <v>172</v>
      </c>
      <c r="E13" s="22" t="s">
        <v>342</v>
      </c>
      <c r="F13" s="22"/>
      <c r="G13" s="22"/>
      <c r="H13" s="4" t="str">
        <f>IF(F13&lt;&gt;"","Name on oneline does not match the customer name listed on Salesforce. Please update so they match.","")</f>
        <v/>
      </c>
      <c r="I13" s="32"/>
      <c r="J13" s="32"/>
      <c r="K13" t="str">
        <f>IF(F13&lt;&gt;"",A13&amp;" - "&amp;B13&amp;H13,"")</f>
        <v/>
      </c>
    </row>
    <row r="14" spans="1:11" x14ac:dyDescent="0.25">
      <c r="A14" s="26">
        <v>3.2</v>
      </c>
      <c r="B14" s="78" t="s">
        <v>242</v>
      </c>
      <c r="C14" s="78"/>
      <c r="D14" s="21" t="s">
        <v>154</v>
      </c>
      <c r="E14" s="22" t="s">
        <v>342</v>
      </c>
      <c r="F14" s="22"/>
      <c r="G14" s="22"/>
      <c r="H14" s="4" t="str">
        <f>IF(F14&lt;&gt;"","Missing. Failure to include case numbers in future applications may lead to rejection.","")</f>
        <v/>
      </c>
      <c r="I14" s="33"/>
      <c r="J14" s="32"/>
      <c r="K14" t="str">
        <f t="shared" ref="K14:K78" si="0">IF(F14&lt;&gt;"",A14&amp;" - "&amp;B14&amp;H14,"")</f>
        <v/>
      </c>
    </row>
    <row r="15" spans="1:11" ht="25.5" customHeight="1" x14ac:dyDescent="0.25">
      <c r="A15" s="25">
        <v>3.3</v>
      </c>
      <c r="B15" s="78" t="s">
        <v>243</v>
      </c>
      <c r="C15" s="78"/>
      <c r="D15" s="21" t="s">
        <v>192</v>
      </c>
      <c r="E15" s="22" t="s">
        <v>342</v>
      </c>
      <c r="F15" s="22"/>
      <c r="G15" s="22"/>
      <c r="H15" s="8" t="str">
        <f>IF(F15&lt;&gt;"","Missing, please include.","")</f>
        <v/>
      </c>
      <c r="I15" s="33"/>
      <c r="J15" s="32"/>
      <c r="K15" t="str">
        <f t="shared" si="0"/>
        <v/>
      </c>
    </row>
    <row r="16" spans="1:11" hidden="1" x14ac:dyDescent="0.25">
      <c r="A16" s="25">
        <v>3.4</v>
      </c>
      <c r="B16" s="78" t="s">
        <v>95</v>
      </c>
      <c r="C16" s="78"/>
      <c r="D16" s="21"/>
      <c r="E16" s="22"/>
      <c r="F16" s="22"/>
      <c r="G16" s="22"/>
      <c r="H16" s="8"/>
      <c r="I16" s="33"/>
      <c r="J16" s="32"/>
      <c r="K16" t="str">
        <f t="shared" si="0"/>
        <v/>
      </c>
    </row>
    <row r="17" spans="1:11" ht="28.5" hidden="1" customHeight="1" x14ac:dyDescent="0.25">
      <c r="A17" s="25">
        <v>3.5</v>
      </c>
      <c r="B17" s="78" t="s">
        <v>96</v>
      </c>
      <c r="C17" s="78"/>
      <c r="D17" s="21" t="s">
        <v>183</v>
      </c>
      <c r="E17" s="22"/>
      <c r="F17" s="22"/>
      <c r="G17" s="22"/>
      <c r="H17" s="8"/>
      <c r="I17" s="33"/>
      <c r="J17" s="32"/>
      <c r="K17" t="str">
        <f t="shared" si="0"/>
        <v/>
      </c>
    </row>
    <row r="18" spans="1:11" ht="24.75" customHeight="1" x14ac:dyDescent="0.25">
      <c r="A18" s="92" t="s">
        <v>40</v>
      </c>
      <c r="B18" s="92"/>
      <c r="C18" s="108"/>
      <c r="D18" s="108"/>
      <c r="E18" s="108"/>
      <c r="F18" s="108"/>
      <c r="G18" s="108"/>
      <c r="H18" s="108"/>
      <c r="I18" s="108"/>
      <c r="J18" s="109"/>
      <c r="K18" t="str">
        <f t="shared" si="0"/>
        <v/>
      </c>
    </row>
    <row r="19" spans="1:11" ht="23.25" customHeight="1" x14ac:dyDescent="0.25">
      <c r="A19" s="27"/>
      <c r="B19" s="78" t="s">
        <v>244</v>
      </c>
      <c r="C19" s="78"/>
      <c r="D19" s="35"/>
      <c r="E19" s="36"/>
      <c r="F19" s="36"/>
      <c r="G19" s="36"/>
      <c r="H19" s="36"/>
      <c r="I19" s="36"/>
      <c r="J19" s="37"/>
      <c r="K19" t="str">
        <f t="shared" si="0"/>
        <v/>
      </c>
    </row>
    <row r="20" spans="1:11" ht="24.75" customHeight="1" x14ac:dyDescent="0.25">
      <c r="A20" s="46" t="s">
        <v>218</v>
      </c>
      <c r="B20" s="78" t="s">
        <v>245</v>
      </c>
      <c r="C20" s="78"/>
      <c r="D20" s="21" t="s">
        <v>155</v>
      </c>
      <c r="E20" s="22" t="s">
        <v>342</v>
      </c>
      <c r="F20" s="22"/>
      <c r="G20" s="22"/>
      <c r="H20" s="8" t="str">
        <f>IF(F20="","","The DER system should NOT be tapping onto the line/supply side of the main service meter. If tapping onto the main service meter is desired, both the wiring and the language on the One-Line Diagram must be updated to indicate a load-side tap.
Possible"&amp;""&amp;" Revision Option Example: Keeping the Utility Meter block/schematic in it's present orientation, disconnect/remove all lines (both load and line side). Rename the bottom side of meter to Line"&amp;""&amp;" side and draw lines to utility grid. Rename top side as Load side and draw separate lines to both the PV AC Disconnect and the Main Service Panel.")</f>
        <v/>
      </c>
      <c r="I20" s="33"/>
      <c r="J20" s="32"/>
      <c r="K20" t="str">
        <f t="shared" si="0"/>
        <v/>
      </c>
    </row>
    <row r="21" spans="1:11" ht="15" customHeight="1" x14ac:dyDescent="0.25">
      <c r="A21" s="46" t="s">
        <v>218</v>
      </c>
      <c r="B21" s="78" t="s">
        <v>246</v>
      </c>
      <c r="C21" s="78"/>
      <c r="D21" s="21"/>
      <c r="E21" s="22" t="s">
        <v>342</v>
      </c>
      <c r="F21" s="22"/>
      <c r="G21" s="22"/>
      <c r="H21" s="8"/>
      <c r="I21" s="33"/>
      <c r="J21" s="32"/>
      <c r="K21" t="str">
        <f t="shared" si="0"/>
        <v/>
      </c>
    </row>
    <row r="22" spans="1:11" ht="23.25" customHeight="1" x14ac:dyDescent="0.25">
      <c r="A22" s="46" t="s">
        <v>219</v>
      </c>
      <c r="B22" s="78" t="s">
        <v>247</v>
      </c>
      <c r="C22" s="78"/>
      <c r="D22" s="21" t="s">
        <v>201</v>
      </c>
      <c r="E22" s="22" t="s">
        <v>342</v>
      </c>
      <c r="F22" s="22"/>
      <c r="G22" s="22"/>
      <c r="H22" s="8" t="str">
        <f>IF(F22&lt;&gt;"","Please label main service meter.","")</f>
        <v/>
      </c>
      <c r="I22" s="33"/>
      <c r="J22" s="32"/>
      <c r="K22" t="str">
        <f t="shared" si="0"/>
        <v/>
      </c>
    </row>
    <row r="23" spans="1:11" x14ac:dyDescent="0.25">
      <c r="A23" s="46">
        <v>3.7</v>
      </c>
      <c r="B23" s="78" t="s">
        <v>248</v>
      </c>
      <c r="C23" s="78"/>
      <c r="D23" s="21" t="s">
        <v>174</v>
      </c>
      <c r="E23" s="22" t="s">
        <v>342</v>
      </c>
      <c r="F23" s="22"/>
      <c r="G23" s="22"/>
      <c r="H23" s="8" t="str">
        <f>IF(F23&lt;&gt;"","There must be protection in the form of a breaker or fuse between the DER and utility located immediately after the main service meter.","")</f>
        <v/>
      </c>
      <c r="I23" s="33"/>
      <c r="J23" s="32"/>
      <c r="K23" t="str">
        <f t="shared" si="0"/>
        <v/>
      </c>
    </row>
    <row r="24" spans="1:11" ht="24" x14ac:dyDescent="0.25">
      <c r="A24" s="28" t="s">
        <v>220</v>
      </c>
      <c r="B24" s="78" t="s">
        <v>249</v>
      </c>
      <c r="C24" s="78"/>
      <c r="D24" s="49" t="s">
        <v>156</v>
      </c>
      <c r="E24" s="22" t="s">
        <v>342</v>
      </c>
      <c r="F24" s="22"/>
      <c r="G24" s="22"/>
      <c r="H24" s="8" t="str">
        <f>IF(F24&lt;&gt;"","Per requirement 3.7 a protective device must be located immediately after main service meter. This design does not satisfy the requirement.","")</f>
        <v/>
      </c>
      <c r="I24" s="33"/>
      <c r="J24" s="32"/>
      <c r="K24" t="str">
        <f t="shared" si="0"/>
        <v/>
      </c>
    </row>
    <row r="25" spans="1:11" ht="24" customHeight="1" x14ac:dyDescent="0.25">
      <c r="A25" s="28" t="s">
        <v>221</v>
      </c>
      <c r="B25" s="78" t="s">
        <v>250</v>
      </c>
      <c r="C25" s="78"/>
      <c r="D25" s="21"/>
      <c r="E25" s="22" t="s">
        <v>342</v>
      </c>
      <c r="F25" s="22"/>
      <c r="G25" s="22"/>
      <c r="H25" s="8"/>
      <c r="I25" s="33"/>
      <c r="J25" s="32"/>
      <c r="K25" t="str">
        <f t="shared" si="0"/>
        <v/>
      </c>
    </row>
    <row r="26" spans="1:11" ht="75" customHeight="1" x14ac:dyDescent="0.25">
      <c r="A26" s="28" t="s">
        <v>222</v>
      </c>
      <c r="B26" s="78" t="s">
        <v>251</v>
      </c>
      <c r="C26" s="78"/>
      <c r="D26" s="49" t="s">
        <v>157</v>
      </c>
      <c r="E26" s="22" t="s">
        <v>342</v>
      </c>
      <c r="F26" s="22"/>
      <c r="G26" s="22"/>
      <c r="H26" s="8" t="str" cm="1">
        <f t="array" ref="H26">_xlfn.IFS(F26="CA","Value on Salesforce does not match value listed on oneline. Please update so they match.",OR(F26="x",F26="X"),"Value on Salesforce does not match value listed on oneline. This may be due to the inverters not matching in the Salesforce application assets (7600 model) and the One-Line (5000 model). Please update so they match.",F26="","")</f>
        <v/>
      </c>
      <c r="I26" s="33"/>
      <c r="J26" s="32"/>
      <c r="K26" t="str">
        <f t="shared" si="0"/>
        <v/>
      </c>
    </row>
    <row r="27" spans="1:11" x14ac:dyDescent="0.25">
      <c r="A27" s="30" t="s">
        <v>14</v>
      </c>
      <c r="B27" s="78" t="s">
        <v>252</v>
      </c>
      <c r="C27" s="78"/>
      <c r="D27" s="21" t="s">
        <v>223</v>
      </c>
      <c r="E27" s="23" t="s">
        <v>342</v>
      </c>
      <c r="F27" s="23"/>
      <c r="G27" s="23"/>
      <c r="H27" s="19" t="str">
        <f>IF(F27&lt;&gt;"","Missing, please include.","")</f>
        <v/>
      </c>
      <c r="I27" s="34"/>
      <c r="J27" s="32"/>
      <c r="K27" t="str">
        <f t="shared" si="0"/>
        <v/>
      </c>
    </row>
    <row r="28" spans="1:11" x14ac:dyDescent="0.25">
      <c r="A28" s="31" t="s">
        <v>15</v>
      </c>
      <c r="B28" s="78" t="s">
        <v>253</v>
      </c>
      <c r="C28" s="78"/>
      <c r="D28" s="21" t="s">
        <v>224</v>
      </c>
      <c r="E28" s="22" t="s">
        <v>342</v>
      </c>
      <c r="F28" s="22"/>
      <c r="G28" s="22"/>
      <c r="H28" s="19" t="str">
        <f>IF(F28&lt;&gt;"","Missing, please include.","")</f>
        <v/>
      </c>
      <c r="I28" s="33"/>
      <c r="J28" s="32"/>
      <c r="K28" t="str">
        <f t="shared" si="0"/>
        <v/>
      </c>
    </row>
    <row r="29" spans="1:11" ht="24" x14ac:dyDescent="0.25">
      <c r="A29" s="28" t="s">
        <v>348</v>
      </c>
      <c r="B29" s="97" t="s">
        <v>349</v>
      </c>
      <c r="C29" s="98"/>
      <c r="D29" s="77" t="s">
        <v>350</v>
      </c>
      <c r="E29" s="22" t="s">
        <v>342</v>
      </c>
      <c r="F29" s="22"/>
      <c r="G29" s="22"/>
      <c r="H29" s="19"/>
      <c r="I29" s="33"/>
      <c r="J29" s="32"/>
    </row>
    <row r="30" spans="1:11" x14ac:dyDescent="0.25">
      <c r="A30" s="31" t="s">
        <v>16</v>
      </c>
      <c r="B30" s="78" t="s">
        <v>254</v>
      </c>
      <c r="C30" s="78"/>
      <c r="D30" s="21"/>
      <c r="E30" s="22" t="s">
        <v>342</v>
      </c>
      <c r="F30" s="22"/>
      <c r="G30" s="22"/>
      <c r="H30" s="8" t="str">
        <f>IF(F30&lt;&gt;"","Missing, please include","")</f>
        <v/>
      </c>
      <c r="I30" s="33"/>
      <c r="J30" s="32"/>
      <c r="K30" t="str">
        <f t="shared" si="0"/>
        <v/>
      </c>
    </row>
    <row r="31" spans="1:11" x14ac:dyDescent="0.25">
      <c r="A31" s="31" t="s">
        <v>17</v>
      </c>
      <c r="B31" s="78" t="s">
        <v>255</v>
      </c>
      <c r="C31" s="78"/>
      <c r="D31" s="21" t="s">
        <v>225</v>
      </c>
      <c r="E31" s="22" t="s">
        <v>342</v>
      </c>
      <c r="F31" s="22"/>
      <c r="G31" s="22"/>
      <c r="H31" s="8" t="str">
        <f>IF(F30&lt;&gt;"","Fixing 3.12 will resolve this issue as well.","")</f>
        <v/>
      </c>
      <c r="I31" s="33"/>
      <c r="J31" s="32"/>
      <c r="K31" t="str">
        <f t="shared" si="0"/>
        <v/>
      </c>
    </row>
    <row r="32" spans="1:11" s="55" customFormat="1" hidden="1" x14ac:dyDescent="0.25">
      <c r="A32" s="51" t="s">
        <v>18</v>
      </c>
      <c r="B32" s="81" t="s">
        <v>139</v>
      </c>
      <c r="C32" s="81"/>
      <c r="D32" s="52"/>
      <c r="E32" s="53"/>
      <c r="F32" s="53"/>
      <c r="G32" s="53"/>
      <c r="H32" s="54"/>
      <c r="I32" s="54"/>
      <c r="J32" s="53"/>
      <c r="K32" t="str">
        <f t="shared" si="0"/>
        <v/>
      </c>
    </row>
    <row r="33" spans="1:11" s="55" customFormat="1" hidden="1" x14ac:dyDescent="0.25">
      <c r="A33" s="51" t="s">
        <v>16</v>
      </c>
      <c r="B33" s="81" t="s">
        <v>143</v>
      </c>
      <c r="C33" s="81"/>
      <c r="D33" s="52" t="s">
        <v>158</v>
      </c>
      <c r="E33" s="53"/>
      <c r="F33" s="53"/>
      <c r="G33" s="53"/>
      <c r="H33" s="54"/>
      <c r="I33" s="54"/>
      <c r="J33" s="53"/>
      <c r="K33" t="str">
        <f t="shared" si="0"/>
        <v/>
      </c>
    </row>
    <row r="34" spans="1:11" ht="24" x14ac:dyDescent="0.25">
      <c r="A34" s="31" t="s">
        <v>19</v>
      </c>
      <c r="B34" s="78" t="s">
        <v>256</v>
      </c>
      <c r="C34" s="78"/>
      <c r="D34" s="21" t="s">
        <v>159</v>
      </c>
      <c r="E34" s="22"/>
      <c r="F34" s="22"/>
      <c r="G34" s="22" t="s">
        <v>342</v>
      </c>
      <c r="H34" s="8" t="str">
        <f>IF(F34&lt;&gt;"","Please explicitly call out which DER is existing and which is proposed.","")</f>
        <v/>
      </c>
      <c r="I34" s="33"/>
      <c r="J34" s="32"/>
      <c r="K34" t="str">
        <f t="shared" si="0"/>
        <v/>
      </c>
    </row>
    <row r="35" spans="1:11" ht="72" x14ac:dyDescent="0.25">
      <c r="A35" s="31" t="s">
        <v>20</v>
      </c>
      <c r="B35" s="78" t="s">
        <v>257</v>
      </c>
      <c r="C35" s="78"/>
      <c r="D35" s="76" t="s">
        <v>340</v>
      </c>
      <c r="E35" s="22"/>
      <c r="F35" s="22"/>
      <c r="G35" s="22" t="s">
        <v>342</v>
      </c>
      <c r="H35" s="8" t="str" cm="1">
        <f t="array" ref="H35">_xlfn.IFS(F35="CA","Please note the correct alphanumeric mode of operation as found in the technical reference documents (https://mn.my.xcelenergy.com/s/renewable/developers/interconnection).",OR(F35="X",F35="x"),"All Tesla powerwall batteries have the functionality to charge from the grid. Therefore, the “Storage Charge Source” in Exhibit B must state that it is charged from both the Utility and Solar.",F35="","")</f>
        <v/>
      </c>
      <c r="I35" s="33"/>
      <c r="J35" s="32"/>
      <c r="K35" t="str">
        <f t="shared" si="0"/>
        <v/>
      </c>
    </row>
    <row r="36" spans="1:11" ht="24" x14ac:dyDescent="0.25">
      <c r="A36" s="31" t="s">
        <v>21</v>
      </c>
      <c r="B36" s="78" t="s">
        <v>258</v>
      </c>
      <c r="C36" s="78"/>
      <c r="D36" s="21" t="s">
        <v>161</v>
      </c>
      <c r="E36" s="22"/>
      <c r="F36" s="22"/>
      <c r="G36" s="22" t="s">
        <v>342</v>
      </c>
      <c r="H36" s="8"/>
      <c r="I36" s="33"/>
      <c r="J36" s="32"/>
      <c r="K36" t="str">
        <f t="shared" si="0"/>
        <v/>
      </c>
    </row>
    <row r="37" spans="1:11" ht="48.75" customHeight="1" x14ac:dyDescent="0.25">
      <c r="A37" s="56" t="s">
        <v>22</v>
      </c>
      <c r="B37" s="78" t="s">
        <v>196</v>
      </c>
      <c r="C37" s="78"/>
      <c r="D37" s="42" t="s">
        <v>197</v>
      </c>
      <c r="E37" s="22"/>
      <c r="F37" s="22"/>
      <c r="G37" s="22" t="s">
        <v>342</v>
      </c>
      <c r="H37" s="8"/>
      <c r="I37" s="33"/>
      <c r="J37" s="32"/>
      <c r="K37" t="str">
        <f t="shared" si="0"/>
        <v/>
      </c>
    </row>
    <row r="38" spans="1:11" x14ac:dyDescent="0.25">
      <c r="A38" s="96" t="s">
        <v>39</v>
      </c>
      <c r="B38" s="96"/>
      <c r="C38" s="104"/>
      <c r="D38" s="101"/>
      <c r="E38" s="101"/>
      <c r="F38" s="101"/>
      <c r="G38" s="101"/>
      <c r="H38" s="101"/>
      <c r="I38" s="101"/>
      <c r="J38" s="102"/>
      <c r="K38" t="str">
        <f t="shared" si="0"/>
        <v/>
      </c>
    </row>
    <row r="39" spans="1:11" ht="40.5" customHeight="1" x14ac:dyDescent="0.25">
      <c r="A39" s="28" t="s">
        <v>24</v>
      </c>
      <c r="B39" s="78" t="s">
        <v>259</v>
      </c>
      <c r="C39" s="78"/>
      <c r="D39" s="21" t="s">
        <v>190</v>
      </c>
      <c r="E39" s="22"/>
      <c r="F39" s="22"/>
      <c r="G39" s="22" t="s">
        <v>342</v>
      </c>
      <c r="H39" s="8" t="str">
        <f>IF(F39="","","A production meter is not required for this application type (DG &lt; 40kW). Please proceed with one of the following options:"&amp;CHAR(10)&amp;"     "&amp;"1.) remove it from Oneline and site plan."&amp;CHAR(10)&amp;"     "&amp;"2.) remove "&amp;CHAR(34)&amp;"Utility"&amp;CHAR(34)&amp;" and state it is customer owned and supplied."&amp;CHAR(10)&amp;"     "&amp;"3.) A customer may choose to install a utility owned production meter, however they will be charged the corresponding monthly meter"&amp;""&amp;" fee as noted in our Section 10 tariff. If this is the preferred option the production meter may stay on the one-line and site plan.")</f>
        <v/>
      </c>
      <c r="I39" s="33"/>
      <c r="J39" s="32"/>
      <c r="K39" t="str">
        <f>IF(F39&lt;&gt;"",A39&amp;" - "&amp;B39&amp;H39,"")</f>
        <v/>
      </c>
    </row>
    <row r="40" spans="1:11" x14ac:dyDescent="0.25">
      <c r="A40" s="29" t="s">
        <v>226</v>
      </c>
      <c r="B40" s="78" t="s">
        <v>260</v>
      </c>
      <c r="C40" s="78"/>
      <c r="D40" s="21"/>
      <c r="E40" s="22"/>
      <c r="F40" s="22"/>
      <c r="G40" s="22" t="s">
        <v>342</v>
      </c>
      <c r="H40" s="8"/>
      <c r="I40" s="33"/>
      <c r="J40" s="32"/>
      <c r="K40" t="str">
        <f t="shared" si="0"/>
        <v/>
      </c>
    </row>
    <row r="41" spans="1:11" x14ac:dyDescent="0.25">
      <c r="A41" s="29" t="s">
        <v>227</v>
      </c>
      <c r="B41" s="78" t="s">
        <v>261</v>
      </c>
      <c r="C41" s="78"/>
      <c r="D41" s="21"/>
      <c r="E41" s="22"/>
      <c r="F41" s="22"/>
      <c r="G41" s="22" t="s">
        <v>342</v>
      </c>
      <c r="H41" s="8"/>
      <c r="I41" s="33"/>
      <c r="J41" s="32"/>
      <c r="K41" t="str">
        <f t="shared" si="0"/>
        <v/>
      </c>
    </row>
    <row r="42" spans="1:11" ht="20.25" customHeight="1" x14ac:dyDescent="0.25">
      <c r="A42" s="29" t="s">
        <v>228</v>
      </c>
      <c r="B42" s="78" t="s">
        <v>262</v>
      </c>
      <c r="C42" s="78"/>
      <c r="D42" s="21" t="s">
        <v>162</v>
      </c>
      <c r="E42" s="22"/>
      <c r="F42" s="22"/>
      <c r="G42" s="22" t="s">
        <v>342</v>
      </c>
      <c r="H42" s="8"/>
      <c r="I42" s="33"/>
      <c r="J42" s="32"/>
      <c r="K42" t="str">
        <f t="shared" si="0"/>
        <v/>
      </c>
    </row>
    <row r="43" spans="1:11" ht="24" x14ac:dyDescent="0.25">
      <c r="A43" s="29" t="s">
        <v>229</v>
      </c>
      <c r="B43" s="78" t="s">
        <v>263</v>
      </c>
      <c r="C43" s="78"/>
      <c r="D43" s="43" t="s">
        <v>202</v>
      </c>
      <c r="E43" s="22"/>
      <c r="F43" s="22"/>
      <c r="G43" s="22" t="s">
        <v>342</v>
      </c>
      <c r="H43" s="8"/>
      <c r="I43" s="33"/>
      <c r="J43" s="32"/>
      <c r="K43" t="str">
        <f t="shared" si="0"/>
        <v/>
      </c>
    </row>
    <row r="44" spans="1:11" ht="26.25" customHeight="1" x14ac:dyDescent="0.25">
      <c r="A44" s="29" t="s">
        <v>25</v>
      </c>
      <c r="B44" s="78" t="s">
        <v>264</v>
      </c>
      <c r="C44" s="78"/>
      <c r="D44" s="21" t="s">
        <v>185</v>
      </c>
      <c r="E44" s="22"/>
      <c r="F44" s="22"/>
      <c r="G44" s="22" t="s">
        <v>342</v>
      </c>
      <c r="H44" s="8" t="str">
        <f>IF(F44="","","Incorrect polarity labeled, please correct. Line and Load labels should be swapped to opposite sides (i.e. DER to line side of production meter).")</f>
        <v/>
      </c>
      <c r="I44" s="33"/>
      <c r="J44" s="32"/>
      <c r="K44" t="str">
        <f t="shared" si="0"/>
        <v/>
      </c>
    </row>
    <row r="45" spans="1:11" s="55" customFormat="1" ht="31.5" hidden="1" customHeight="1" x14ac:dyDescent="0.25">
      <c r="A45" s="57" t="s">
        <v>23</v>
      </c>
      <c r="B45" s="81" t="s">
        <v>140</v>
      </c>
      <c r="C45" s="81"/>
      <c r="D45" s="52" t="s">
        <v>163</v>
      </c>
      <c r="E45" s="53"/>
      <c r="F45" s="53"/>
      <c r="G45" s="53"/>
      <c r="H45" s="54"/>
      <c r="I45" s="54"/>
      <c r="J45" s="53"/>
      <c r="K45" t="str">
        <f t="shared" si="0"/>
        <v/>
      </c>
    </row>
    <row r="46" spans="1:11" ht="24" customHeight="1" x14ac:dyDescent="0.25">
      <c r="A46" s="29" t="s">
        <v>26</v>
      </c>
      <c r="B46" s="78" t="s">
        <v>265</v>
      </c>
      <c r="C46" s="78"/>
      <c r="D46" s="21" t="s">
        <v>184</v>
      </c>
      <c r="E46" s="22"/>
      <c r="F46" s="22"/>
      <c r="G46" s="22" t="s">
        <v>342</v>
      </c>
      <c r="H46" s="8"/>
      <c r="I46" s="33"/>
      <c r="J46" s="32"/>
      <c r="K46" t="str">
        <f t="shared" si="0"/>
        <v/>
      </c>
    </row>
    <row r="47" spans="1:11" ht="24.75" customHeight="1" x14ac:dyDescent="0.25">
      <c r="A47" s="28" t="s">
        <v>27</v>
      </c>
      <c r="B47" s="78" t="s">
        <v>266</v>
      </c>
      <c r="C47" s="78"/>
      <c r="D47" s="21" t="s">
        <v>160</v>
      </c>
      <c r="E47" s="22"/>
      <c r="F47" s="22"/>
      <c r="G47" s="22" t="s">
        <v>342</v>
      </c>
      <c r="H47" s="8"/>
      <c r="I47" s="33"/>
      <c r="J47" s="32"/>
      <c r="K47" t="str">
        <f t="shared" si="0"/>
        <v/>
      </c>
    </row>
    <row r="48" spans="1:11" x14ac:dyDescent="0.25">
      <c r="A48" s="96" t="s">
        <v>38</v>
      </c>
      <c r="B48" s="96"/>
      <c r="C48" s="104"/>
      <c r="D48" s="101"/>
      <c r="E48" s="101"/>
      <c r="F48" s="101"/>
      <c r="G48" s="101"/>
      <c r="H48" s="101"/>
      <c r="I48" s="101"/>
      <c r="J48" s="102"/>
      <c r="K48" t="str">
        <f t="shared" si="0"/>
        <v/>
      </c>
    </row>
    <row r="49" spans="1:11" ht="24" x14ac:dyDescent="0.25">
      <c r="A49" s="28" t="s">
        <v>230</v>
      </c>
      <c r="B49" s="78" t="s">
        <v>267</v>
      </c>
      <c r="C49" s="78"/>
      <c r="D49" s="21" t="s">
        <v>346</v>
      </c>
      <c r="E49" s="22" t="s">
        <v>342</v>
      </c>
      <c r="F49" s="22"/>
      <c r="G49" s="22"/>
      <c r="H49" s="8" t="str">
        <f>IF(F49="","","Please change the description of the utility AC disconnect to 'visible-open type' rather than 'visible, open' as that could convey a different meaning.")</f>
        <v/>
      </c>
      <c r="I49" s="33"/>
      <c r="J49" s="32"/>
      <c r="K49" t="str">
        <f t="shared" si="0"/>
        <v/>
      </c>
    </row>
    <row r="50" spans="1:11" ht="24" x14ac:dyDescent="0.25">
      <c r="A50" s="29" t="s">
        <v>231</v>
      </c>
      <c r="B50" s="78" t="s">
        <v>268</v>
      </c>
      <c r="C50" s="78"/>
      <c r="D50" s="21" t="s">
        <v>347</v>
      </c>
      <c r="E50" s="22"/>
      <c r="F50" s="22"/>
      <c r="G50" s="22" t="s">
        <v>342</v>
      </c>
      <c r="H50" s="8"/>
      <c r="I50" s="33"/>
      <c r="J50" s="32"/>
      <c r="K50" t="str">
        <f t="shared" si="0"/>
        <v/>
      </c>
    </row>
    <row r="51" spans="1:11" s="55" customFormat="1" ht="36.75" hidden="1" customHeight="1" x14ac:dyDescent="0.25">
      <c r="A51" s="57" t="s">
        <v>232</v>
      </c>
      <c r="B51" s="81" t="s">
        <v>145</v>
      </c>
      <c r="C51" s="81"/>
      <c r="D51" s="52"/>
      <c r="E51" s="53"/>
      <c r="F51" s="53"/>
      <c r="G51" s="53"/>
      <c r="H51" s="54"/>
      <c r="I51" s="54"/>
      <c r="J51" s="53"/>
      <c r="K51" t="str">
        <f t="shared" si="0"/>
        <v/>
      </c>
    </row>
    <row r="52" spans="1:11" ht="25.5" customHeight="1" x14ac:dyDescent="0.25">
      <c r="A52" s="29" t="s">
        <v>232</v>
      </c>
      <c r="B52" s="78" t="s">
        <v>269</v>
      </c>
      <c r="C52" s="78"/>
      <c r="D52" s="21"/>
      <c r="E52" s="22"/>
      <c r="F52" s="22"/>
      <c r="G52" s="22" t="s">
        <v>342</v>
      </c>
      <c r="H52" s="8"/>
      <c r="I52" s="33"/>
      <c r="J52" s="32"/>
      <c r="K52" t="str">
        <f t="shared" si="0"/>
        <v/>
      </c>
    </row>
    <row r="53" spans="1:11" ht="25.5" customHeight="1" x14ac:dyDescent="0.25">
      <c r="A53" s="29" t="s">
        <v>233</v>
      </c>
      <c r="B53" s="78" t="s">
        <v>270</v>
      </c>
      <c r="C53" s="78"/>
      <c r="D53" s="21"/>
      <c r="E53" s="22" t="s">
        <v>342</v>
      </c>
      <c r="F53" s="22"/>
      <c r="G53" s="22"/>
      <c r="H53" s="8"/>
      <c r="I53" s="33"/>
      <c r="J53" s="32"/>
      <c r="K53" t="str">
        <f t="shared" si="0"/>
        <v/>
      </c>
    </row>
    <row r="54" spans="1:11" ht="51" customHeight="1" x14ac:dyDescent="0.25">
      <c r="A54" s="29" t="s">
        <v>234</v>
      </c>
      <c r="B54" s="78" t="s">
        <v>271</v>
      </c>
      <c r="C54" s="78"/>
      <c r="D54" s="21"/>
      <c r="E54" s="22"/>
      <c r="F54" s="22"/>
      <c r="G54" s="22" t="s">
        <v>342</v>
      </c>
      <c r="H54" s="8"/>
      <c r="I54" s="33"/>
      <c r="J54" s="32"/>
      <c r="K54" t="str">
        <f t="shared" si="0"/>
        <v/>
      </c>
    </row>
    <row r="55" spans="1:11" hidden="1" x14ac:dyDescent="0.25">
      <c r="A55" s="96" t="s">
        <v>36</v>
      </c>
      <c r="B55" s="96"/>
      <c r="C55" s="89" t="s">
        <v>37</v>
      </c>
      <c r="D55" s="110"/>
      <c r="E55" s="110"/>
      <c r="F55" s="110"/>
      <c r="G55" s="110"/>
      <c r="H55" s="110"/>
      <c r="I55" s="110"/>
      <c r="J55" s="90"/>
      <c r="K55" t="str">
        <f t="shared" si="0"/>
        <v/>
      </c>
    </row>
    <row r="56" spans="1:11" ht="25.5" hidden="1" customHeight="1" x14ac:dyDescent="0.25">
      <c r="A56" s="28" t="s">
        <v>27</v>
      </c>
      <c r="B56" s="78" t="s">
        <v>144</v>
      </c>
      <c r="C56" s="78"/>
      <c r="D56" s="21"/>
      <c r="E56" s="22"/>
      <c r="F56" s="22"/>
      <c r="G56" s="22"/>
      <c r="H56" s="8"/>
      <c r="I56" s="33"/>
      <c r="J56" s="32"/>
      <c r="K56" t="str">
        <f t="shared" si="0"/>
        <v/>
      </c>
    </row>
    <row r="57" spans="1:11" ht="15.75" hidden="1" customHeight="1" x14ac:dyDescent="0.25">
      <c r="A57" s="29" t="s">
        <v>28</v>
      </c>
      <c r="B57" s="78" t="s">
        <v>141</v>
      </c>
      <c r="C57" s="78"/>
      <c r="D57" s="38"/>
      <c r="E57" s="39"/>
      <c r="F57" s="39"/>
      <c r="G57" s="39"/>
      <c r="H57" s="40"/>
      <c r="I57" s="40"/>
      <c r="J57" s="39"/>
      <c r="K57" t="str">
        <f t="shared" si="0"/>
        <v/>
      </c>
    </row>
    <row r="58" spans="1:11" ht="15.75" hidden="1" customHeight="1" x14ac:dyDescent="0.25">
      <c r="A58" s="29" t="s">
        <v>29</v>
      </c>
      <c r="B58" s="78" t="s">
        <v>133</v>
      </c>
      <c r="C58" s="78"/>
      <c r="D58" s="21"/>
      <c r="E58" s="22"/>
      <c r="F58" s="22"/>
      <c r="G58" s="22"/>
      <c r="H58" s="8"/>
      <c r="I58" s="33"/>
      <c r="J58" s="32"/>
      <c r="K58" t="str">
        <f t="shared" si="0"/>
        <v/>
      </c>
    </row>
    <row r="59" spans="1:11" hidden="1" x14ac:dyDescent="0.25">
      <c r="A59" s="29" t="s">
        <v>30</v>
      </c>
      <c r="B59" s="78" t="s">
        <v>134</v>
      </c>
      <c r="C59" s="78"/>
      <c r="D59" s="21"/>
      <c r="E59" s="22"/>
      <c r="F59" s="22"/>
      <c r="G59" s="22"/>
      <c r="H59" s="8"/>
      <c r="I59" s="33"/>
      <c r="J59" s="32"/>
      <c r="K59" t="str">
        <f t="shared" si="0"/>
        <v/>
      </c>
    </row>
    <row r="60" spans="1:11" ht="15.75" hidden="1" customHeight="1" x14ac:dyDescent="0.25">
      <c r="A60" s="29" t="s">
        <v>31</v>
      </c>
      <c r="B60" s="78" t="s">
        <v>135</v>
      </c>
      <c r="C60" s="78"/>
      <c r="D60" s="21"/>
      <c r="E60" s="22"/>
      <c r="F60" s="22"/>
      <c r="G60" s="22"/>
      <c r="H60" s="8"/>
      <c r="I60" s="33"/>
      <c r="J60" s="32"/>
      <c r="K60" t="str">
        <f t="shared" si="0"/>
        <v/>
      </c>
    </row>
    <row r="61" spans="1:11" ht="15.75" hidden="1" customHeight="1" x14ac:dyDescent="0.25">
      <c r="A61" s="29" t="s">
        <v>32</v>
      </c>
      <c r="B61" s="78" t="s">
        <v>136</v>
      </c>
      <c r="C61" s="78"/>
      <c r="D61" s="21"/>
      <c r="E61" s="22"/>
      <c r="F61" s="22"/>
      <c r="G61" s="22"/>
      <c r="H61" s="8"/>
      <c r="I61" s="33"/>
      <c r="J61" s="32"/>
      <c r="K61" t="str">
        <f t="shared" si="0"/>
        <v/>
      </c>
    </row>
    <row r="62" spans="1:11" ht="15.75" hidden="1" customHeight="1" x14ac:dyDescent="0.25">
      <c r="A62" s="29" t="s">
        <v>33</v>
      </c>
      <c r="B62" s="78" t="s">
        <v>137</v>
      </c>
      <c r="C62" s="78"/>
      <c r="D62" s="21"/>
      <c r="E62" s="22"/>
      <c r="F62" s="22"/>
      <c r="G62" s="22"/>
      <c r="H62" s="8"/>
      <c r="I62" s="33"/>
      <c r="J62" s="32"/>
      <c r="K62" t="str">
        <f t="shared" si="0"/>
        <v/>
      </c>
    </row>
    <row r="63" spans="1:11" ht="15.75" hidden="1" customHeight="1" x14ac:dyDescent="0.25">
      <c r="A63" s="29" t="s">
        <v>34</v>
      </c>
      <c r="B63" s="78" t="s">
        <v>142</v>
      </c>
      <c r="C63" s="78"/>
      <c r="D63" s="21" t="s">
        <v>186</v>
      </c>
      <c r="E63" s="22"/>
      <c r="F63" s="22"/>
      <c r="G63" s="22"/>
      <c r="H63" s="8"/>
      <c r="I63" s="33"/>
      <c r="J63" s="32"/>
      <c r="K63" t="str">
        <f t="shared" si="0"/>
        <v/>
      </c>
    </row>
    <row r="64" spans="1:11" ht="15.75" hidden="1" customHeight="1" x14ac:dyDescent="0.25">
      <c r="A64" s="29" t="s">
        <v>35</v>
      </c>
      <c r="B64" s="78" t="s">
        <v>138</v>
      </c>
      <c r="C64" s="78"/>
      <c r="D64" s="21"/>
      <c r="E64" s="22"/>
      <c r="F64" s="22"/>
      <c r="G64" s="22"/>
      <c r="H64" s="8"/>
      <c r="I64" s="33"/>
      <c r="J64" s="32"/>
      <c r="K64" t="str">
        <f t="shared" si="0"/>
        <v/>
      </c>
    </row>
    <row r="65" spans="1:11" ht="15.75" x14ac:dyDescent="0.25">
      <c r="A65" s="99" t="s">
        <v>43</v>
      </c>
      <c r="B65" s="99"/>
      <c r="C65" s="99"/>
      <c r="D65" s="99"/>
      <c r="E65" s="99"/>
      <c r="F65" s="99"/>
      <c r="G65" s="99"/>
      <c r="H65" s="99"/>
      <c r="I65" s="99"/>
      <c r="J65" s="99"/>
      <c r="K65" t="str">
        <f t="shared" si="0"/>
        <v/>
      </c>
    </row>
    <row r="66" spans="1:11" x14ac:dyDescent="0.25">
      <c r="A66" s="96" t="s">
        <v>41</v>
      </c>
      <c r="B66" s="96"/>
      <c r="C66" s="104"/>
      <c r="D66" s="101"/>
      <c r="E66" s="101"/>
      <c r="F66" s="101"/>
      <c r="G66" s="101"/>
      <c r="H66" s="101"/>
      <c r="I66" s="101"/>
      <c r="J66" s="102"/>
      <c r="K66" t="str">
        <f>IF(NOT(COUNTA(F67:F89)),"","Site Plan:")</f>
        <v/>
      </c>
    </row>
    <row r="67" spans="1:11" ht="26.25" customHeight="1" x14ac:dyDescent="0.25">
      <c r="A67" s="28" t="s">
        <v>44</v>
      </c>
      <c r="B67" s="78" t="s">
        <v>272</v>
      </c>
      <c r="C67" s="78"/>
      <c r="D67" s="21" t="s">
        <v>154</v>
      </c>
      <c r="E67" s="22" t="s">
        <v>342</v>
      </c>
      <c r="F67" s="22"/>
      <c r="G67" s="22"/>
      <c r="H67" s="8" t="str">
        <f>IF(F67&lt;&gt;"","Name on site plan does not match the customer name listed on Salesforce. Please update so they match.","")</f>
        <v/>
      </c>
      <c r="I67" s="33"/>
      <c r="J67" s="32"/>
      <c r="K67" t="str">
        <f t="shared" si="0"/>
        <v/>
      </c>
    </row>
    <row r="68" spans="1:11" ht="15.75" customHeight="1" x14ac:dyDescent="0.25">
      <c r="A68" s="28" t="s">
        <v>45</v>
      </c>
      <c r="B68" s="78" t="s">
        <v>273</v>
      </c>
      <c r="C68" s="78"/>
      <c r="D68" s="21" t="s">
        <v>154</v>
      </c>
      <c r="E68" s="22" t="s">
        <v>342</v>
      </c>
      <c r="F68" s="22"/>
      <c r="G68" s="22"/>
      <c r="H68" s="8" t="str">
        <f>IF(F68&lt;&gt;"","Missing, please include.","")</f>
        <v/>
      </c>
      <c r="I68" s="33"/>
      <c r="J68" s="32"/>
      <c r="K68" t="str">
        <f t="shared" si="0"/>
        <v/>
      </c>
    </row>
    <row r="69" spans="1:11" s="55" customFormat="1" ht="15.75" hidden="1" customHeight="1" x14ac:dyDescent="0.25">
      <c r="A69" s="57" t="s">
        <v>46</v>
      </c>
      <c r="B69" s="81" t="s">
        <v>127</v>
      </c>
      <c r="C69" s="81"/>
      <c r="D69" s="52" t="s">
        <v>154</v>
      </c>
      <c r="E69" s="53"/>
      <c r="F69" s="53"/>
      <c r="G69" s="53"/>
      <c r="H69" s="54"/>
      <c r="I69" s="54"/>
      <c r="J69" s="53"/>
      <c r="K69" t="str">
        <f t="shared" si="0"/>
        <v/>
      </c>
    </row>
    <row r="70" spans="1:11" s="55" customFormat="1" ht="15.75" hidden="1" customHeight="1" x14ac:dyDescent="0.25">
      <c r="A70" s="57" t="s">
        <v>47</v>
      </c>
      <c r="B70" s="81" t="s">
        <v>128</v>
      </c>
      <c r="C70" s="81"/>
      <c r="D70" s="52" t="s">
        <v>154</v>
      </c>
      <c r="E70" s="53"/>
      <c r="F70" s="53"/>
      <c r="G70" s="53"/>
      <c r="H70" s="54"/>
      <c r="I70" s="54"/>
      <c r="J70" s="53"/>
      <c r="K70" t="str">
        <f t="shared" si="0"/>
        <v/>
      </c>
    </row>
    <row r="71" spans="1:11" ht="37.5" hidden="1" customHeight="1" x14ac:dyDescent="0.25">
      <c r="A71" s="29" t="s">
        <v>48</v>
      </c>
      <c r="B71" s="78" t="s">
        <v>129</v>
      </c>
      <c r="C71" s="78"/>
      <c r="D71" s="21" t="s">
        <v>154</v>
      </c>
      <c r="E71" s="22"/>
      <c r="F71" s="22"/>
      <c r="G71" s="22"/>
      <c r="H71" s="8"/>
      <c r="I71" s="33"/>
      <c r="J71" s="32"/>
      <c r="K71" t="str">
        <f t="shared" si="0"/>
        <v/>
      </c>
    </row>
    <row r="72" spans="1:11" ht="30" customHeight="1" x14ac:dyDescent="0.25">
      <c r="A72" s="28" t="s">
        <v>49</v>
      </c>
      <c r="B72" s="78" t="s">
        <v>274</v>
      </c>
      <c r="C72" s="78"/>
      <c r="D72" s="21" t="s">
        <v>164</v>
      </c>
      <c r="E72" s="22" t="s">
        <v>342</v>
      </c>
      <c r="F72" s="22"/>
      <c r="G72" s="22"/>
      <c r="H72" s="8"/>
      <c r="I72" s="33"/>
      <c r="J72" s="32"/>
      <c r="K72" t="str">
        <f t="shared" si="0"/>
        <v/>
      </c>
    </row>
    <row r="73" spans="1:11" ht="15.75" customHeight="1" x14ac:dyDescent="0.25">
      <c r="A73" s="28" t="s">
        <v>50</v>
      </c>
      <c r="B73" s="78" t="s">
        <v>275</v>
      </c>
      <c r="C73" s="78"/>
      <c r="D73" s="21" t="s">
        <v>154</v>
      </c>
      <c r="E73" s="22" t="s">
        <v>342</v>
      </c>
      <c r="F73" s="22"/>
      <c r="G73" s="22"/>
      <c r="H73" s="8" t="str">
        <f>IF(F73&lt;&gt;"","Missing, please include. Failure to include case numbers in future applications may lead to rejection.","")</f>
        <v/>
      </c>
      <c r="I73" s="33"/>
      <c r="J73" s="32"/>
      <c r="K73" t="str">
        <f t="shared" si="0"/>
        <v/>
      </c>
    </row>
    <row r="74" spans="1:11" ht="15.75" customHeight="1" x14ac:dyDescent="0.25">
      <c r="A74" s="28" t="s">
        <v>51</v>
      </c>
      <c r="B74" s="78" t="s">
        <v>276</v>
      </c>
      <c r="C74" s="78"/>
      <c r="E74" s="22" t="s">
        <v>342</v>
      </c>
      <c r="F74" s="22"/>
      <c r="G74" s="22"/>
      <c r="H74" s="7" t="str">
        <f>IF(F74&lt;&gt;"", "No streets are shown please include and label.","")</f>
        <v/>
      </c>
      <c r="I74" s="33"/>
      <c r="J74" s="32"/>
      <c r="K74" t="str">
        <f t="shared" si="0"/>
        <v/>
      </c>
    </row>
    <row r="75" spans="1:11" ht="36.75" customHeight="1" x14ac:dyDescent="0.25">
      <c r="A75" s="29" t="s">
        <v>235</v>
      </c>
      <c r="B75" s="78" t="s">
        <v>277</v>
      </c>
      <c r="C75" s="78"/>
      <c r="D75" s="21" t="s">
        <v>175</v>
      </c>
      <c r="E75" s="22" t="s">
        <v>342</v>
      </c>
      <c r="F75" s="22"/>
      <c r="G75" s="22"/>
      <c r="H75" s="8" t="str">
        <f>IF(F75&lt;&gt;"","Missing, please include with name, distance, and direction to nearest cross street if one is not shown.","")</f>
        <v/>
      </c>
      <c r="I75" s="33"/>
      <c r="J75" s="32"/>
      <c r="K75" t="str">
        <f t="shared" si="0"/>
        <v/>
      </c>
    </row>
    <row r="76" spans="1:11" ht="15.75" customHeight="1" x14ac:dyDescent="0.25">
      <c r="A76" s="28" t="s">
        <v>52</v>
      </c>
      <c r="B76" s="78" t="s">
        <v>278</v>
      </c>
      <c r="C76" s="78"/>
      <c r="D76" s="21"/>
      <c r="E76" s="22" t="s">
        <v>342</v>
      </c>
      <c r="F76" s="22"/>
      <c r="G76" s="22"/>
      <c r="H76" s="8" t="str">
        <f>IF(F76&lt;&gt;"","Missing, please include.","")</f>
        <v/>
      </c>
      <c r="I76" s="33"/>
      <c r="J76" s="32"/>
      <c r="K76" t="str">
        <f t="shared" si="0"/>
        <v/>
      </c>
    </row>
    <row r="77" spans="1:11" ht="37.5" hidden="1" customHeight="1" x14ac:dyDescent="0.25">
      <c r="A77" s="28" t="s">
        <v>53</v>
      </c>
      <c r="B77" s="78" t="s">
        <v>152</v>
      </c>
      <c r="C77" s="78"/>
      <c r="D77" s="21" t="s">
        <v>165</v>
      </c>
      <c r="E77" s="22"/>
      <c r="F77" s="22"/>
      <c r="G77" s="22"/>
      <c r="H77" s="8"/>
      <c r="I77" s="33"/>
      <c r="J77" s="32"/>
      <c r="K77" t="str">
        <f t="shared" si="0"/>
        <v/>
      </c>
    </row>
    <row r="78" spans="1:11" ht="15.75" hidden="1" customHeight="1" x14ac:dyDescent="0.25">
      <c r="A78" s="29" t="s">
        <v>54</v>
      </c>
      <c r="B78" s="78" t="s">
        <v>130</v>
      </c>
      <c r="C78" s="78"/>
      <c r="D78" s="21" t="s">
        <v>187</v>
      </c>
      <c r="E78" s="22"/>
      <c r="F78" s="22"/>
      <c r="G78" s="22"/>
      <c r="H78" s="8"/>
      <c r="I78" s="33"/>
      <c r="J78" s="32"/>
      <c r="K78" t="str">
        <f t="shared" si="0"/>
        <v/>
      </c>
    </row>
    <row r="79" spans="1:11" ht="15.75" hidden="1" customHeight="1" x14ac:dyDescent="0.25">
      <c r="A79" s="29" t="s">
        <v>55</v>
      </c>
      <c r="B79" s="78" t="s">
        <v>97</v>
      </c>
      <c r="C79" s="78"/>
      <c r="D79" s="21"/>
      <c r="E79" s="22"/>
      <c r="F79" s="22"/>
      <c r="G79" s="22"/>
      <c r="H79" s="8"/>
      <c r="I79" s="33"/>
      <c r="J79" s="32"/>
      <c r="K79" t="str">
        <f t="shared" ref="K79:K137" si="1">IF(F79&lt;&gt;"",A79&amp;" - "&amp;B79&amp;H79,"")</f>
        <v/>
      </c>
    </row>
    <row r="80" spans="1:11" ht="21.75" customHeight="1" x14ac:dyDescent="0.25">
      <c r="A80" s="96" t="s">
        <v>40</v>
      </c>
      <c r="B80" s="96"/>
      <c r="C80" s="104"/>
      <c r="D80" s="101"/>
      <c r="E80" s="101"/>
      <c r="F80" s="101"/>
      <c r="G80" s="101"/>
      <c r="H80" s="101"/>
      <c r="I80" s="101"/>
      <c r="J80" s="102"/>
      <c r="K80" t="str">
        <f t="shared" si="1"/>
        <v/>
      </c>
    </row>
    <row r="81" spans="1:11" ht="46.5" customHeight="1" x14ac:dyDescent="0.25">
      <c r="A81" s="28" t="s">
        <v>53</v>
      </c>
      <c r="B81" s="78" t="s">
        <v>279</v>
      </c>
      <c r="C81" s="78"/>
      <c r="D81" s="21" t="s">
        <v>176</v>
      </c>
      <c r="E81" s="22" t="s">
        <v>342</v>
      </c>
      <c r="F81" s="22"/>
      <c r="G81" s="22"/>
      <c r="H81" s="8" t="str">
        <f>IF(F81&lt;&gt;"","If production meter is removed from oneline, please also remove it (and all associated notes) from the site plan.","")</f>
        <v/>
      </c>
      <c r="I81" s="33"/>
      <c r="J81" s="32"/>
      <c r="K81" t="str">
        <f t="shared" si="1"/>
        <v/>
      </c>
    </row>
    <row r="82" spans="1:11" ht="24" x14ac:dyDescent="0.25">
      <c r="A82" s="29" t="s">
        <v>54</v>
      </c>
      <c r="B82" s="78" t="s">
        <v>280</v>
      </c>
      <c r="C82" s="78"/>
      <c r="D82" s="21" t="s">
        <v>177</v>
      </c>
      <c r="E82" s="22" t="s">
        <v>342</v>
      </c>
      <c r="F82" s="22"/>
      <c r="G82" s="22"/>
      <c r="H82" s="8" t="str">
        <f>IF(AND(F82&lt;&gt;"",G39&lt;&gt;""),"Distance must be noted between at least the main service meter and utility AC disconnect.",IF(AND(F82&lt;&gt;"",F39&lt;&gt;""),"Distance must be noted between at least the main service meter, utility AC disconnect, and production meter. If the production meter is removed, then only the distance between the main service meter and utility AC disconnect must be noted.",IF(AND(F82&lt;&gt;"",E39&lt;&gt;""),"Distance must be noted between at least the main service meter, utility AC disconnect, and production meter.","")))</f>
        <v/>
      </c>
      <c r="I82" s="33"/>
      <c r="J82" s="32"/>
      <c r="K82" t="str">
        <f t="shared" si="1"/>
        <v/>
      </c>
    </row>
    <row r="83" spans="1:11" ht="27.75" hidden="1" customHeight="1" x14ac:dyDescent="0.25">
      <c r="A83" s="41" t="s">
        <v>58</v>
      </c>
      <c r="B83" s="103" t="s">
        <v>131</v>
      </c>
      <c r="C83" s="103"/>
      <c r="D83" s="38" t="s">
        <v>178</v>
      </c>
      <c r="E83" s="39"/>
      <c r="F83" s="39"/>
      <c r="G83" s="39"/>
      <c r="H83" s="40" t="s">
        <v>195</v>
      </c>
      <c r="I83" s="40"/>
      <c r="J83" s="39"/>
      <c r="K83" t="str">
        <f t="shared" si="1"/>
        <v/>
      </c>
    </row>
    <row r="84" spans="1:11" ht="36" hidden="1" customHeight="1" x14ac:dyDescent="0.25">
      <c r="A84" s="29" t="s">
        <v>59</v>
      </c>
      <c r="B84" s="78" t="s">
        <v>132</v>
      </c>
      <c r="C84" s="78"/>
      <c r="D84" s="21" t="s">
        <v>188</v>
      </c>
      <c r="E84" s="22"/>
      <c r="F84" s="22"/>
      <c r="G84" s="22"/>
      <c r="H84" s="8"/>
      <c r="I84" s="33"/>
      <c r="J84" s="32"/>
      <c r="K84" t="str">
        <f t="shared" si="1"/>
        <v/>
      </c>
    </row>
    <row r="85" spans="1:11" ht="27.75" customHeight="1" x14ac:dyDescent="0.25">
      <c r="A85" s="28" t="s">
        <v>56</v>
      </c>
      <c r="B85" s="78" t="s">
        <v>281</v>
      </c>
      <c r="C85" s="78"/>
      <c r="D85" s="21" t="s">
        <v>193</v>
      </c>
      <c r="E85" s="22" t="s">
        <v>342</v>
      </c>
      <c r="F85" s="22"/>
      <c r="G85" s="22"/>
      <c r="H85" s="8"/>
      <c r="I85" s="33"/>
      <c r="J85" s="32"/>
      <c r="K85" t="str">
        <f t="shared" si="1"/>
        <v/>
      </c>
    </row>
    <row r="86" spans="1:11" ht="39" customHeight="1" x14ac:dyDescent="0.25">
      <c r="A86" s="29" t="s">
        <v>57</v>
      </c>
      <c r="B86" s="78" t="s">
        <v>341</v>
      </c>
      <c r="C86" s="78"/>
      <c r="D86" s="21" t="s">
        <v>189</v>
      </c>
      <c r="E86" s="22"/>
      <c r="F86" s="22"/>
      <c r="G86" s="22" t="s">
        <v>342</v>
      </c>
      <c r="H86" s="8"/>
      <c r="I86" s="33"/>
      <c r="J86" s="32"/>
      <c r="K86" t="str">
        <f t="shared" si="1"/>
        <v/>
      </c>
    </row>
    <row r="87" spans="1:11" ht="15.75" customHeight="1" x14ac:dyDescent="0.25">
      <c r="A87" s="28" t="s">
        <v>60</v>
      </c>
      <c r="B87" s="97" t="s">
        <v>282</v>
      </c>
      <c r="C87" s="98"/>
      <c r="D87" s="21"/>
      <c r="E87" s="22" t="s">
        <v>342</v>
      </c>
      <c r="F87" s="22"/>
      <c r="G87" s="22"/>
      <c r="H87" s="8" t="str">
        <f>IF(F87&lt;&gt;"","Missing a note stating this. Please include.","")</f>
        <v/>
      </c>
      <c r="I87" s="33"/>
      <c r="J87" s="32"/>
      <c r="K87" t="str">
        <f t="shared" si="1"/>
        <v/>
      </c>
    </row>
    <row r="88" spans="1:11" ht="31.5" customHeight="1" x14ac:dyDescent="0.25">
      <c r="A88" s="28" t="s">
        <v>61</v>
      </c>
      <c r="B88" s="78" t="s">
        <v>283</v>
      </c>
      <c r="C88" s="78"/>
      <c r="D88" s="21"/>
      <c r="E88" s="22" t="s">
        <v>342</v>
      </c>
      <c r="F88" s="22"/>
      <c r="G88" s="22"/>
      <c r="H88" s="8" t="str">
        <f>IF(F88&lt;&gt;"","Please note all position, distance, and clearance concerns, if any, or include a note stating there are no clearance concerns when none exist.","")</f>
        <v/>
      </c>
      <c r="I88" s="33"/>
      <c r="J88" s="32"/>
      <c r="K88" t="str">
        <f t="shared" si="1"/>
        <v/>
      </c>
    </row>
    <row r="89" spans="1:11" ht="39.75" customHeight="1" x14ac:dyDescent="0.25">
      <c r="A89" s="28" t="s">
        <v>62</v>
      </c>
      <c r="B89" s="78" t="s">
        <v>284</v>
      </c>
      <c r="C89" s="78"/>
      <c r="D89" s="21" t="s">
        <v>166</v>
      </c>
      <c r="E89" s="22"/>
      <c r="F89" s="22"/>
      <c r="G89" s="22" t="s">
        <v>342</v>
      </c>
      <c r="H89" s="8"/>
      <c r="I89" s="33"/>
      <c r="J89" s="32"/>
      <c r="K89" t="str">
        <f t="shared" si="1"/>
        <v/>
      </c>
    </row>
    <row r="90" spans="1:11" ht="15.75" hidden="1" x14ac:dyDescent="0.25">
      <c r="A90" s="99" t="s">
        <v>63</v>
      </c>
      <c r="B90" s="99"/>
      <c r="C90" s="99"/>
      <c r="D90" s="99"/>
      <c r="E90" s="99"/>
      <c r="F90" s="99"/>
      <c r="G90" s="99"/>
      <c r="H90" s="99"/>
      <c r="I90" s="99"/>
      <c r="J90" s="99"/>
      <c r="K90" t="str">
        <f t="shared" si="1"/>
        <v/>
      </c>
    </row>
    <row r="91" spans="1:11" ht="15.75" hidden="1" customHeight="1" x14ac:dyDescent="0.25">
      <c r="A91" s="28" t="s">
        <v>64</v>
      </c>
      <c r="B91" s="78" t="s">
        <v>123</v>
      </c>
      <c r="C91" s="78"/>
      <c r="D91" s="21"/>
      <c r="E91" s="22"/>
      <c r="F91" s="22"/>
      <c r="G91" s="22"/>
      <c r="H91" s="8"/>
      <c r="I91" s="33"/>
      <c r="J91" s="32"/>
      <c r="K91" t="str">
        <f t="shared" si="1"/>
        <v/>
      </c>
    </row>
    <row r="92" spans="1:11" ht="15.75" hidden="1" customHeight="1" x14ac:dyDescent="0.25">
      <c r="A92" s="28" t="s">
        <v>65</v>
      </c>
      <c r="B92" s="78" t="s">
        <v>124</v>
      </c>
      <c r="C92" s="78"/>
      <c r="D92" s="21"/>
      <c r="E92" s="22"/>
      <c r="F92" s="22"/>
      <c r="G92" s="22"/>
      <c r="H92" s="8"/>
      <c r="I92" s="33"/>
      <c r="J92" s="32"/>
      <c r="K92" t="str">
        <f t="shared" si="1"/>
        <v/>
      </c>
    </row>
    <row r="93" spans="1:11" ht="34.5" hidden="1" customHeight="1" x14ac:dyDescent="0.25">
      <c r="A93" s="28" t="s">
        <v>66</v>
      </c>
      <c r="B93" s="78" t="s">
        <v>285</v>
      </c>
      <c r="C93" s="78"/>
      <c r="D93" s="21" t="s">
        <v>179</v>
      </c>
      <c r="E93" s="22"/>
      <c r="F93" s="22"/>
      <c r="G93" s="22"/>
      <c r="H93" s="8"/>
      <c r="I93" s="33"/>
      <c r="J93" s="32"/>
      <c r="K93" t="str">
        <f t="shared" si="1"/>
        <v/>
      </c>
    </row>
    <row r="94" spans="1:11" ht="27" hidden="1" customHeight="1" x14ac:dyDescent="0.25">
      <c r="A94" s="29" t="s">
        <v>67</v>
      </c>
      <c r="B94" s="78" t="s">
        <v>121</v>
      </c>
      <c r="C94" s="78"/>
      <c r="D94" s="21"/>
      <c r="E94" s="22"/>
      <c r="F94" s="22"/>
      <c r="G94" s="22"/>
      <c r="H94" s="8"/>
      <c r="I94" s="33"/>
      <c r="J94" s="32"/>
      <c r="K94" t="str">
        <f t="shared" si="1"/>
        <v/>
      </c>
    </row>
    <row r="95" spans="1:11" ht="15.75" hidden="1" customHeight="1" x14ac:dyDescent="0.25">
      <c r="A95" s="28" t="s">
        <v>68</v>
      </c>
      <c r="B95" s="78" t="s">
        <v>125</v>
      </c>
      <c r="C95" s="78"/>
      <c r="D95" s="21" t="s">
        <v>180</v>
      </c>
      <c r="E95" s="22"/>
      <c r="F95" s="22"/>
      <c r="G95" s="22"/>
      <c r="H95" s="8"/>
      <c r="I95" s="33"/>
      <c r="J95" s="32"/>
      <c r="K95" t="str">
        <f t="shared" si="1"/>
        <v/>
      </c>
    </row>
    <row r="96" spans="1:11" ht="48.75" hidden="1" customHeight="1" x14ac:dyDescent="0.25">
      <c r="A96" s="29" t="s">
        <v>69</v>
      </c>
      <c r="B96" s="78" t="s">
        <v>122</v>
      </c>
      <c r="C96" s="78"/>
      <c r="D96" s="21"/>
      <c r="E96" s="22"/>
      <c r="F96" s="22"/>
      <c r="G96" s="22"/>
      <c r="H96" s="8"/>
      <c r="I96" s="33"/>
      <c r="J96" s="32"/>
      <c r="K96" t="str">
        <f t="shared" si="1"/>
        <v/>
      </c>
    </row>
    <row r="97" spans="1:11" ht="3" hidden="1" customHeight="1" x14ac:dyDescent="0.25">
      <c r="A97" s="28" t="s">
        <v>70</v>
      </c>
      <c r="B97" s="78" t="s">
        <v>126</v>
      </c>
      <c r="C97" s="78"/>
      <c r="D97" s="21"/>
      <c r="E97" s="22"/>
      <c r="F97" s="22"/>
      <c r="G97" s="22"/>
      <c r="H97" s="8"/>
      <c r="I97" s="33"/>
      <c r="J97" s="32"/>
      <c r="K97" t="str">
        <f t="shared" si="1"/>
        <v/>
      </c>
    </row>
    <row r="98" spans="1:11" ht="15.75" x14ac:dyDescent="0.25">
      <c r="A98" s="99" t="s">
        <v>236</v>
      </c>
      <c r="B98" s="99"/>
      <c r="C98" s="99"/>
      <c r="D98" s="99"/>
      <c r="E98" s="99"/>
      <c r="F98" s="99"/>
      <c r="G98" s="99"/>
      <c r="H98" s="99"/>
      <c r="I98" s="99"/>
      <c r="J98" s="99"/>
      <c r="K98" t="str">
        <f t="shared" si="1"/>
        <v/>
      </c>
    </row>
    <row r="99" spans="1:11" hidden="1" x14ac:dyDescent="0.25">
      <c r="A99" s="96" t="s">
        <v>41</v>
      </c>
      <c r="B99" s="96"/>
      <c r="C99" s="100" t="s">
        <v>191</v>
      </c>
      <c r="D99" s="101"/>
      <c r="E99" s="101"/>
      <c r="F99" s="101"/>
      <c r="G99" s="101"/>
      <c r="H99" s="101"/>
      <c r="I99" s="101"/>
      <c r="J99" s="102"/>
      <c r="K99" t="str">
        <f t="shared" si="1"/>
        <v/>
      </c>
    </row>
    <row r="100" spans="1:11" hidden="1" x14ac:dyDescent="0.25">
      <c r="A100" s="28" t="s">
        <v>71</v>
      </c>
      <c r="B100" s="78" t="s">
        <v>110</v>
      </c>
      <c r="C100" s="78"/>
      <c r="D100" s="21" t="s">
        <v>154</v>
      </c>
      <c r="E100" s="22"/>
      <c r="F100" s="22"/>
      <c r="G100" s="22"/>
      <c r="H100" s="8"/>
      <c r="I100" s="33"/>
      <c r="J100" s="32"/>
      <c r="K100" t="str">
        <f t="shared" si="1"/>
        <v/>
      </c>
    </row>
    <row r="101" spans="1:11" hidden="1" x14ac:dyDescent="0.25">
      <c r="A101" s="28" t="s">
        <v>72</v>
      </c>
      <c r="B101" s="78" t="s">
        <v>111</v>
      </c>
      <c r="C101" s="78"/>
      <c r="D101" s="21" t="s">
        <v>154</v>
      </c>
      <c r="E101" s="22"/>
      <c r="F101" s="22"/>
      <c r="G101" s="22"/>
      <c r="H101" s="8"/>
      <c r="I101" s="33"/>
      <c r="J101" s="32"/>
      <c r="K101" t="str">
        <f t="shared" si="1"/>
        <v/>
      </c>
    </row>
    <row r="102" spans="1:11" hidden="1" x14ac:dyDescent="0.25">
      <c r="A102" s="29" t="s">
        <v>73</v>
      </c>
      <c r="B102" s="78" t="s">
        <v>100</v>
      </c>
      <c r="C102" s="78"/>
      <c r="D102" s="21" t="s">
        <v>154</v>
      </c>
      <c r="E102" s="22"/>
      <c r="F102" s="22"/>
      <c r="G102" s="22"/>
      <c r="H102" s="8"/>
      <c r="I102" s="33"/>
      <c r="J102" s="32"/>
      <c r="K102" t="str">
        <f t="shared" si="1"/>
        <v/>
      </c>
    </row>
    <row r="103" spans="1:11" hidden="1" x14ac:dyDescent="0.25">
      <c r="A103" s="28" t="s">
        <v>74</v>
      </c>
      <c r="B103" s="78" t="s">
        <v>112</v>
      </c>
      <c r="C103" s="78"/>
      <c r="D103" s="21" t="s">
        <v>154</v>
      </c>
      <c r="E103" s="22"/>
      <c r="F103" s="22"/>
      <c r="G103" s="22"/>
      <c r="H103" s="8"/>
      <c r="I103" s="33"/>
      <c r="J103" s="32"/>
      <c r="K103" t="str">
        <f t="shared" si="1"/>
        <v/>
      </c>
    </row>
    <row r="104" spans="1:11" hidden="1" x14ac:dyDescent="0.25">
      <c r="A104" s="28" t="s">
        <v>75</v>
      </c>
      <c r="B104" s="78" t="s">
        <v>113</v>
      </c>
      <c r="C104" s="78"/>
      <c r="D104" s="21"/>
      <c r="E104" s="22"/>
      <c r="F104" s="22"/>
      <c r="G104" s="22"/>
      <c r="H104" s="8"/>
      <c r="I104" s="33"/>
      <c r="J104" s="32"/>
      <c r="K104" t="str">
        <f t="shared" si="1"/>
        <v/>
      </c>
    </row>
    <row r="105" spans="1:11" ht="28.5" hidden="1" customHeight="1" x14ac:dyDescent="0.25">
      <c r="A105" s="28" t="s">
        <v>76</v>
      </c>
      <c r="B105" s="78" t="s">
        <v>114</v>
      </c>
      <c r="C105" s="78"/>
      <c r="D105" s="21" t="s">
        <v>167</v>
      </c>
      <c r="E105" s="22"/>
      <c r="F105" s="22"/>
      <c r="G105" s="22"/>
      <c r="H105" s="8"/>
      <c r="I105" s="33"/>
      <c r="J105" s="32"/>
      <c r="K105" t="str">
        <f t="shared" si="1"/>
        <v/>
      </c>
    </row>
    <row r="106" spans="1:11" ht="16.5" hidden="1" customHeight="1" x14ac:dyDescent="0.25">
      <c r="A106" s="28" t="s">
        <v>77</v>
      </c>
      <c r="B106" s="78" t="s">
        <v>115</v>
      </c>
      <c r="C106" s="78"/>
      <c r="D106" s="38"/>
      <c r="E106" s="39"/>
      <c r="F106" s="39"/>
      <c r="G106" s="39"/>
      <c r="H106" s="40"/>
      <c r="I106" s="40"/>
      <c r="J106" s="39"/>
      <c r="K106" t="str">
        <f t="shared" si="1"/>
        <v/>
      </c>
    </row>
    <row r="107" spans="1:11" hidden="1" x14ac:dyDescent="0.25">
      <c r="A107" s="29" t="s">
        <v>78</v>
      </c>
      <c r="B107" s="78" t="s">
        <v>101</v>
      </c>
      <c r="C107" s="78"/>
      <c r="D107" s="21" t="s">
        <v>168</v>
      </c>
      <c r="E107" s="22"/>
      <c r="F107" s="22"/>
      <c r="G107" s="22"/>
      <c r="H107" s="8"/>
      <c r="I107" s="33"/>
      <c r="J107" s="32"/>
      <c r="K107" t="str">
        <f t="shared" si="1"/>
        <v/>
      </c>
    </row>
    <row r="108" spans="1:11" ht="42.75" hidden="1" customHeight="1" x14ac:dyDescent="0.25">
      <c r="A108" s="29" t="s">
        <v>79</v>
      </c>
      <c r="B108" s="78" t="s">
        <v>102</v>
      </c>
      <c r="C108" s="78"/>
      <c r="D108" s="21" t="s">
        <v>194</v>
      </c>
      <c r="E108" s="22"/>
      <c r="F108" s="22"/>
      <c r="G108" s="22"/>
      <c r="H108" s="8"/>
      <c r="I108" s="33"/>
      <c r="J108" s="32"/>
      <c r="K108" t="str">
        <f t="shared" si="1"/>
        <v/>
      </c>
    </row>
    <row r="109" spans="1:11" ht="57.75" hidden="1" customHeight="1" x14ac:dyDescent="0.25">
      <c r="A109" s="29" t="s">
        <v>80</v>
      </c>
      <c r="B109" s="78" t="s">
        <v>103</v>
      </c>
      <c r="C109" s="78"/>
      <c r="D109" s="21" t="s">
        <v>181</v>
      </c>
      <c r="E109" s="22"/>
      <c r="F109" s="22"/>
      <c r="G109" s="22"/>
      <c r="H109" s="8"/>
      <c r="I109" s="33"/>
      <c r="J109" s="32"/>
      <c r="K109" t="str">
        <f t="shared" si="1"/>
        <v/>
      </c>
    </row>
    <row r="110" spans="1:11" ht="35.25" hidden="1" customHeight="1" x14ac:dyDescent="0.25">
      <c r="A110" s="29" t="s">
        <v>81</v>
      </c>
      <c r="B110" s="78" t="s">
        <v>104</v>
      </c>
      <c r="C110" s="78"/>
      <c r="D110" s="21"/>
      <c r="E110" s="22"/>
      <c r="F110" s="22"/>
      <c r="G110" s="22"/>
      <c r="H110" s="8"/>
      <c r="I110" s="33"/>
      <c r="J110" s="32"/>
      <c r="K110" t="str">
        <f t="shared" si="1"/>
        <v/>
      </c>
    </row>
    <row r="111" spans="1:11" hidden="1" x14ac:dyDescent="0.25">
      <c r="A111" s="29" t="s">
        <v>82</v>
      </c>
      <c r="B111" s="78" t="s">
        <v>105</v>
      </c>
      <c r="C111" s="78"/>
      <c r="D111" s="21" t="s">
        <v>169</v>
      </c>
      <c r="E111" s="22"/>
      <c r="F111" s="22"/>
      <c r="G111" s="22"/>
      <c r="H111" s="8"/>
      <c r="I111" s="33"/>
      <c r="J111" s="32"/>
      <c r="K111" t="str">
        <f t="shared" si="1"/>
        <v/>
      </c>
    </row>
    <row r="112" spans="1:11" hidden="1" x14ac:dyDescent="0.25">
      <c r="A112" s="29" t="s">
        <v>83</v>
      </c>
      <c r="B112" s="78" t="s">
        <v>149</v>
      </c>
      <c r="C112" s="78"/>
      <c r="D112" s="21" t="s">
        <v>170</v>
      </c>
      <c r="E112" s="22"/>
      <c r="F112" s="22"/>
      <c r="G112" s="22"/>
      <c r="H112" s="8"/>
      <c r="I112" s="33"/>
      <c r="J112" s="32"/>
      <c r="K112" t="str">
        <f t="shared" si="1"/>
        <v/>
      </c>
    </row>
    <row r="113" spans="1:11" hidden="1" x14ac:dyDescent="0.25">
      <c r="A113" s="29" t="s">
        <v>98</v>
      </c>
      <c r="B113" s="78" t="s">
        <v>150</v>
      </c>
      <c r="C113" s="78"/>
      <c r="D113" s="21"/>
      <c r="E113" s="22"/>
      <c r="F113" s="22"/>
      <c r="G113" s="22"/>
      <c r="H113" s="8"/>
      <c r="I113" s="33"/>
      <c r="J113" s="32"/>
      <c r="K113" t="str">
        <f t="shared" si="1"/>
        <v/>
      </c>
    </row>
    <row r="114" spans="1:11" ht="33.75" hidden="1" customHeight="1" x14ac:dyDescent="0.25">
      <c r="A114" s="29" t="s">
        <v>84</v>
      </c>
      <c r="B114" s="78" t="s">
        <v>106</v>
      </c>
      <c r="C114" s="78"/>
      <c r="D114" s="21" t="s">
        <v>171</v>
      </c>
      <c r="E114" s="22"/>
      <c r="F114" s="22"/>
      <c r="G114" s="22"/>
      <c r="H114" s="8"/>
      <c r="I114" s="33"/>
      <c r="J114" s="32"/>
      <c r="K114" t="str">
        <f t="shared" si="1"/>
        <v/>
      </c>
    </row>
    <row r="115" spans="1:11" ht="32.25" hidden="1" customHeight="1" x14ac:dyDescent="0.25">
      <c r="A115" s="29" t="s">
        <v>99</v>
      </c>
      <c r="B115" s="78" t="s">
        <v>151</v>
      </c>
      <c r="C115" s="78"/>
      <c r="D115" s="21" t="s">
        <v>182</v>
      </c>
      <c r="E115" s="22"/>
      <c r="F115" s="22"/>
      <c r="G115" s="22"/>
      <c r="H115" s="8"/>
      <c r="I115" s="33"/>
      <c r="J115" s="32"/>
      <c r="K115" t="str">
        <f t="shared" si="1"/>
        <v/>
      </c>
    </row>
    <row r="116" spans="1:11" ht="27" hidden="1" customHeight="1" x14ac:dyDescent="0.25">
      <c r="A116" s="29" t="s">
        <v>85</v>
      </c>
      <c r="B116" s="78" t="s">
        <v>107</v>
      </c>
      <c r="C116" s="78"/>
      <c r="D116" s="21"/>
      <c r="E116" s="22"/>
      <c r="F116" s="22"/>
      <c r="G116" s="22"/>
      <c r="H116" s="8"/>
      <c r="I116" s="33"/>
      <c r="J116" s="32"/>
      <c r="K116" t="str">
        <f t="shared" si="1"/>
        <v/>
      </c>
    </row>
    <row r="117" spans="1:11" hidden="1" x14ac:dyDescent="0.25">
      <c r="A117" s="28" t="s">
        <v>86</v>
      </c>
      <c r="B117" s="78" t="s">
        <v>116</v>
      </c>
      <c r="C117" s="78"/>
      <c r="D117" s="21"/>
      <c r="E117" s="22"/>
      <c r="F117" s="22"/>
      <c r="G117" s="22"/>
      <c r="H117" s="8"/>
      <c r="I117" s="33"/>
      <c r="J117" s="32"/>
      <c r="K117" t="str">
        <f t="shared" si="1"/>
        <v/>
      </c>
    </row>
    <row r="118" spans="1:11" hidden="1" x14ac:dyDescent="0.25">
      <c r="A118" s="28" t="s">
        <v>87</v>
      </c>
      <c r="B118" s="78" t="s">
        <v>117</v>
      </c>
      <c r="C118" s="78"/>
      <c r="D118" s="21"/>
      <c r="E118" s="22"/>
      <c r="F118" s="22"/>
      <c r="G118" s="22"/>
      <c r="H118" s="8"/>
      <c r="I118" s="33"/>
      <c r="J118" s="32"/>
      <c r="K118" t="str">
        <f t="shared" si="1"/>
        <v/>
      </c>
    </row>
    <row r="119" spans="1:11" ht="26.25" hidden="1" customHeight="1" x14ac:dyDescent="0.25">
      <c r="A119" s="28" t="s">
        <v>88</v>
      </c>
      <c r="B119" s="78" t="s">
        <v>118</v>
      </c>
      <c r="C119" s="78"/>
      <c r="D119" s="21"/>
      <c r="E119" s="22"/>
      <c r="F119" s="22"/>
      <c r="G119" s="22"/>
      <c r="H119" s="8"/>
      <c r="I119" s="33"/>
      <c r="J119" s="32"/>
      <c r="K119" t="str">
        <f t="shared" si="1"/>
        <v/>
      </c>
    </row>
    <row r="120" spans="1:11" ht="24" hidden="1" customHeight="1" x14ac:dyDescent="0.25">
      <c r="A120" s="96" t="s">
        <v>89</v>
      </c>
      <c r="B120" s="96"/>
      <c r="C120" s="104"/>
      <c r="D120" s="101"/>
      <c r="E120" s="101"/>
      <c r="F120" s="101"/>
      <c r="G120" s="101"/>
      <c r="H120" s="101"/>
      <c r="I120" s="101"/>
      <c r="J120" s="102"/>
      <c r="K120" t="str">
        <f t="shared" si="1"/>
        <v/>
      </c>
    </row>
    <row r="121" spans="1:11" ht="27" hidden="1" customHeight="1" x14ac:dyDescent="0.25">
      <c r="A121" s="28" t="s">
        <v>90</v>
      </c>
      <c r="B121" s="78" t="s">
        <v>119</v>
      </c>
      <c r="C121" s="78"/>
      <c r="D121" s="21"/>
      <c r="E121" s="22"/>
      <c r="F121" s="22"/>
      <c r="G121" s="22"/>
      <c r="H121" s="8"/>
      <c r="I121" s="33"/>
      <c r="J121" s="32"/>
      <c r="K121" t="str">
        <f t="shared" si="1"/>
        <v/>
      </c>
    </row>
    <row r="122" spans="1:11" ht="31.5" hidden="1" customHeight="1" x14ac:dyDescent="0.25">
      <c r="A122" s="29" t="s">
        <v>91</v>
      </c>
      <c r="B122" s="78" t="s">
        <v>108</v>
      </c>
      <c r="C122" s="78"/>
      <c r="D122" s="21"/>
      <c r="E122" s="22"/>
      <c r="F122" s="22"/>
      <c r="G122" s="22"/>
      <c r="H122" s="8"/>
      <c r="I122" s="33"/>
      <c r="J122" s="32"/>
      <c r="K122" t="str">
        <f t="shared" si="1"/>
        <v/>
      </c>
    </row>
    <row r="123" spans="1:11" ht="76.5" hidden="1" customHeight="1" x14ac:dyDescent="0.25">
      <c r="A123" s="29" t="s">
        <v>92</v>
      </c>
      <c r="B123" s="78" t="s">
        <v>109</v>
      </c>
      <c r="C123" s="78"/>
      <c r="D123" s="21"/>
      <c r="E123" s="22"/>
      <c r="F123" s="22"/>
      <c r="G123" s="22"/>
      <c r="H123" s="8"/>
      <c r="I123" s="33"/>
      <c r="J123" s="32"/>
      <c r="K123" t="str">
        <f t="shared" si="1"/>
        <v/>
      </c>
    </row>
    <row r="124" spans="1:11" ht="29.25" hidden="1" customHeight="1" x14ac:dyDescent="0.25">
      <c r="A124" s="28" t="s">
        <v>93</v>
      </c>
      <c r="B124" s="78" t="s">
        <v>120</v>
      </c>
      <c r="C124" s="78"/>
      <c r="D124" s="21"/>
      <c r="E124" s="22"/>
      <c r="F124" s="22"/>
      <c r="G124" s="22"/>
      <c r="H124" s="8"/>
      <c r="I124" s="33"/>
      <c r="J124" s="32"/>
      <c r="K124" t="str">
        <f t="shared" si="1"/>
        <v/>
      </c>
    </row>
    <row r="125" spans="1:11" ht="71.25" customHeight="1" x14ac:dyDescent="0.25">
      <c r="A125" s="28" t="s">
        <v>198</v>
      </c>
      <c r="B125" s="78" t="s">
        <v>237</v>
      </c>
      <c r="C125" s="78"/>
      <c r="D125" s="42" t="s">
        <v>199</v>
      </c>
      <c r="E125" s="22" t="str">
        <f>IF(C1="","",IF(OR(C5="Approved",C5="CA"),"x",""))</f>
        <v/>
      </c>
      <c r="F125" s="22" t="str">
        <f>IF(C5="Rejected","x","")</f>
        <v/>
      </c>
      <c r="G125" s="22"/>
      <c r="H125" s="8"/>
      <c r="I125" s="33"/>
      <c r="J125" s="32"/>
      <c r="K125" t="str">
        <f t="shared" si="1"/>
        <v/>
      </c>
    </row>
    <row r="126" spans="1:11" ht="15.75" x14ac:dyDescent="0.25">
      <c r="A126" s="99" t="s">
        <v>205</v>
      </c>
      <c r="B126" s="99"/>
      <c r="C126" s="99"/>
      <c r="D126" s="99"/>
      <c r="E126" s="99"/>
      <c r="F126" s="99"/>
      <c r="G126" s="99"/>
      <c r="H126" s="99"/>
      <c r="I126" s="99"/>
      <c r="J126" s="99"/>
      <c r="K126" t="str">
        <f t="shared" si="1"/>
        <v/>
      </c>
    </row>
    <row r="127" spans="1:11" ht="30" customHeight="1" x14ac:dyDescent="0.25">
      <c r="A127" s="46" t="s">
        <v>206</v>
      </c>
      <c r="B127" s="112" t="s">
        <v>209</v>
      </c>
      <c r="C127" s="112"/>
      <c r="D127" s="47" t="s">
        <v>217</v>
      </c>
      <c r="E127" s="22" t="str">
        <f>IF(C1="","",IF(OR(C3="Verify Complete",C3="N/A",RIGHT(C3,8)="Existing"),"","x"))</f>
        <v/>
      </c>
      <c r="F127" s="22"/>
      <c r="G127" s="22" t="str">
        <f>IF(C1="","",IF(OR(C3="Verify Complete",C3="N/A",RIGHT(C3,8)="Existing"),"x",""))</f>
        <v/>
      </c>
      <c r="H127" s="8" t="str">
        <f>IFERROR(IF(VLOOKUP(C3,$B$140:$C$167,2,FALSE)=0,"",VLOOKUP(C3,$B$140:$C$167,2,FALSE)),"")</f>
        <v/>
      </c>
      <c r="I127" s="33"/>
      <c r="J127" s="32"/>
      <c r="K127" t="str">
        <f t="shared" si="1"/>
        <v/>
      </c>
    </row>
    <row r="128" spans="1:11" ht="36" x14ac:dyDescent="0.25">
      <c r="A128" s="48" t="s">
        <v>207</v>
      </c>
      <c r="B128" s="112" t="s">
        <v>208</v>
      </c>
      <c r="C128" s="112"/>
      <c r="D128" s="47" t="s">
        <v>345</v>
      </c>
      <c r="E128" s="22" t="str">
        <f>IF(C1="","",IF(OR(C3="Verify Complete",C3="N/A"),"",IF(AND(LEFT(H39,12)&lt;&gt;"A production",G39=""),IF(AND(E46="",F46="",E34="",F34=""),"x",""),"")))</f>
        <v/>
      </c>
      <c r="F128" s="22"/>
      <c r="G128" s="22" t="str">
        <f>IF(C1="","",IF(OR(C3="Verify Complete",C3="N/A"),"x",IF(AND(LEFT(H39,12)&lt;&gt;"A production",G39=""),IF(OR(E46&lt;&gt;"",F46&lt;&gt;"",E34&lt;&gt;"",F34&lt;&gt;""),"x",""),"x")))</f>
        <v/>
      </c>
      <c r="H128" s="8" t="str">
        <f>IFERROR(IF(C1="","",IF(OR(C3="Verify Complete",C3="N/A"),"",IF(AND(G39="",LEFT(H39,12)&lt;&gt;"A production",AND(E46="",F46="",E34="",F34="")),IF(VLOOKUP(C3,$B$140:$D$167,3,FALSE)=0,"",VLOOKUP(C3,$B$140:$D$167,3,FALSE)),IF(C3="Verify Complete","","NEX")))),"")</f>
        <v/>
      </c>
      <c r="I128" s="33"/>
      <c r="J128" s="32"/>
      <c r="K128" t="str">
        <f t="shared" si="1"/>
        <v/>
      </c>
    </row>
    <row r="129" spans="1:11" hidden="1" x14ac:dyDescent="0.25">
      <c r="A129" s="48"/>
      <c r="B129" s="112"/>
      <c r="C129" s="112"/>
      <c r="D129" s="47"/>
      <c r="E129" s="39"/>
      <c r="F129" s="39"/>
      <c r="G129" s="22"/>
      <c r="H129" s="40"/>
      <c r="I129" s="40"/>
      <c r="J129" s="39"/>
      <c r="K129" t="str">
        <f t="shared" si="1"/>
        <v/>
      </c>
    </row>
    <row r="130" spans="1:11" x14ac:dyDescent="0.25">
      <c r="A130" s="48" t="s">
        <v>210</v>
      </c>
      <c r="B130" s="112" t="s">
        <v>310</v>
      </c>
      <c r="C130" s="112"/>
      <c r="D130" s="47" t="s">
        <v>212</v>
      </c>
      <c r="E130" s="22"/>
      <c r="F130" s="22"/>
      <c r="G130" s="22" t="s">
        <v>342</v>
      </c>
      <c r="H130" s="8" t="str">
        <f>IF(F130&lt;&gt;"","Please upload a declaration of storage document to Salesforce.","")</f>
        <v/>
      </c>
      <c r="I130" s="33"/>
      <c r="J130" s="32"/>
      <c r="K130" t="str">
        <f t="shared" si="1"/>
        <v/>
      </c>
    </row>
    <row r="131" spans="1:11" ht="24" x14ac:dyDescent="0.25">
      <c r="A131" s="46" t="s">
        <v>211</v>
      </c>
      <c r="B131" s="112" t="s">
        <v>286</v>
      </c>
      <c r="C131" s="112"/>
      <c r="D131" s="47" t="s">
        <v>344</v>
      </c>
      <c r="E131" s="22"/>
      <c r="F131" s="22"/>
      <c r="G131" s="22" t="s">
        <v>342</v>
      </c>
      <c r="H131" s="8" t="str">
        <f>IF(F131="","","Indicate lugs/lug kit as a non-splicing model or explicitly call out as non-splicing.")</f>
        <v/>
      </c>
      <c r="I131" s="33"/>
      <c r="J131" s="32"/>
      <c r="K131" t="str">
        <f t="shared" si="1"/>
        <v/>
      </c>
    </row>
    <row r="132" spans="1:11" ht="60" x14ac:dyDescent="0.25">
      <c r="A132" s="48" t="s">
        <v>213</v>
      </c>
      <c r="B132" s="112" t="s">
        <v>287</v>
      </c>
      <c r="C132" s="112"/>
      <c r="D132" s="47" t="s">
        <v>343</v>
      </c>
      <c r="E132" s="22"/>
      <c r="F132" s="22"/>
      <c r="G132" s="22" t="s">
        <v>342</v>
      </c>
      <c r="H132" s="8"/>
      <c r="I132" s="33"/>
      <c r="J132" s="32"/>
      <c r="K132" t="str">
        <f t="shared" si="1"/>
        <v/>
      </c>
    </row>
    <row r="133" spans="1:11" x14ac:dyDescent="0.25">
      <c r="A133" s="46" t="s">
        <v>214</v>
      </c>
      <c r="B133" s="112" t="s">
        <v>215</v>
      </c>
      <c r="C133" s="112"/>
      <c r="D133" s="47" t="s">
        <v>216</v>
      </c>
      <c r="E133" s="22" t="str">
        <f>IF(C1="","",IF(AND(C3&lt;&gt;"Verify Complete",C3&lt;&gt;"N/A"),"x",""))</f>
        <v/>
      </c>
      <c r="F133" s="22"/>
      <c r="G133" s="22" t="str">
        <f>IF(C1="","",IF(OR(C3="Verify Complete",C3="N/A"),"x",""))</f>
        <v/>
      </c>
      <c r="H133" s="8"/>
      <c r="I133" s="33"/>
      <c r="J133" s="32"/>
      <c r="K133" t="str">
        <f t="shared" si="1"/>
        <v/>
      </c>
    </row>
    <row r="134" spans="1:11" x14ac:dyDescent="0.25">
      <c r="A134" s="28"/>
      <c r="B134" s="78"/>
      <c r="C134" s="78"/>
      <c r="D134" s="45"/>
      <c r="E134" s="22"/>
      <c r="F134" s="22"/>
      <c r="G134" s="22"/>
      <c r="H134" s="8"/>
      <c r="I134" s="33"/>
      <c r="J134" s="32"/>
      <c r="K134" t="str">
        <f t="shared" si="1"/>
        <v/>
      </c>
    </row>
    <row r="135" spans="1:11" x14ac:dyDescent="0.25">
      <c r="A135" s="28"/>
      <c r="B135" s="78"/>
      <c r="C135" s="78"/>
      <c r="D135" s="45"/>
      <c r="E135" s="22"/>
      <c r="F135" s="22"/>
      <c r="G135" s="22"/>
      <c r="H135" s="8"/>
      <c r="I135" s="33"/>
      <c r="J135" s="32"/>
      <c r="K135" t="str">
        <f t="shared" si="1"/>
        <v/>
      </c>
    </row>
    <row r="136" spans="1:11" ht="16.5" customHeight="1" x14ac:dyDescent="0.25">
      <c r="A136" s="111" t="s">
        <v>238</v>
      </c>
      <c r="B136" s="111"/>
      <c r="C136" s="111"/>
      <c r="D136" s="111"/>
      <c r="E136" s="111"/>
      <c r="F136" s="111"/>
      <c r="G136" s="111"/>
      <c r="H136" s="111"/>
      <c r="I136" s="111"/>
      <c r="J136" s="111"/>
      <c r="K136" t="str">
        <f t="shared" si="1"/>
        <v/>
      </c>
    </row>
    <row r="137" spans="1:11" x14ac:dyDescent="0.25">
      <c r="A137" s="28"/>
      <c r="B137" s="78" t="s">
        <v>239</v>
      </c>
      <c r="C137" s="78"/>
      <c r="D137" s="50" t="s">
        <v>240</v>
      </c>
      <c r="E137" s="22" t="s">
        <v>342</v>
      </c>
      <c r="F137" s="22"/>
      <c r="G137" s="22"/>
      <c r="H137" s="8"/>
      <c r="I137" s="33"/>
      <c r="J137" s="32"/>
      <c r="K137" t="str">
        <f t="shared" si="1"/>
        <v/>
      </c>
    </row>
    <row r="138" spans="1:11" x14ac:dyDescent="0.25">
      <c r="A138" s="16"/>
    </row>
    <row r="139" spans="1:11" ht="16.5" customHeight="1" x14ac:dyDescent="0.25">
      <c r="A139" s="63"/>
      <c r="B139" s="70" t="s">
        <v>304</v>
      </c>
      <c r="C139" s="71" t="s">
        <v>305</v>
      </c>
      <c r="D139" s="69" t="s">
        <v>306</v>
      </c>
    </row>
    <row r="140" spans="1:11" x14ac:dyDescent="0.25">
      <c r="A140" s="64"/>
      <c r="B140" s="73" t="s">
        <v>288</v>
      </c>
      <c r="C140" s="72" t="s">
        <v>289</v>
      </c>
      <c r="D140" s="69" t="s">
        <v>288</v>
      </c>
      <c r="E140" s="13"/>
      <c r="F140" s="13"/>
      <c r="G140" s="13"/>
      <c r="H140" s="13"/>
      <c r="I140" s="13"/>
      <c r="J140" s="13"/>
      <c r="K140" s="13"/>
    </row>
    <row r="141" spans="1:11" x14ac:dyDescent="0.25">
      <c r="A141" s="16"/>
      <c r="B141" s="70" t="s">
        <v>307</v>
      </c>
      <c r="C141" s="71" t="s">
        <v>308</v>
      </c>
      <c r="D141" s="69" t="s">
        <v>288</v>
      </c>
    </row>
    <row r="142" spans="1:11" x14ac:dyDescent="0.25">
      <c r="A142" s="16"/>
      <c r="B142" s="72" t="s">
        <v>290</v>
      </c>
      <c r="C142" s="72" t="s">
        <v>297</v>
      </c>
      <c r="D142" s="69" t="s">
        <v>288</v>
      </c>
    </row>
    <row r="143" spans="1:11" x14ac:dyDescent="0.25">
      <c r="A143" s="16"/>
      <c r="B143" s="70" t="s">
        <v>291</v>
      </c>
      <c r="C143" s="71" t="s">
        <v>298</v>
      </c>
      <c r="D143" s="69" t="s">
        <v>288</v>
      </c>
    </row>
    <row r="144" spans="1:11" x14ac:dyDescent="0.25">
      <c r="A144" s="16"/>
      <c r="B144" s="70" t="s">
        <v>292</v>
      </c>
      <c r="C144" s="71" t="s">
        <v>300</v>
      </c>
      <c r="D144" s="69" t="s">
        <v>303</v>
      </c>
    </row>
    <row r="145" spans="1:4" x14ac:dyDescent="0.25">
      <c r="A145" s="16"/>
      <c r="B145" s="70" t="s">
        <v>293</v>
      </c>
      <c r="C145" s="71" t="s">
        <v>299</v>
      </c>
      <c r="D145" s="69" t="s">
        <v>339</v>
      </c>
    </row>
    <row r="146" spans="1:4" x14ac:dyDescent="0.25">
      <c r="A146" s="16"/>
      <c r="B146" s="70" t="s">
        <v>294</v>
      </c>
      <c r="C146" s="71" t="s">
        <v>301</v>
      </c>
      <c r="D146" s="69" t="s">
        <v>303</v>
      </c>
    </row>
    <row r="147" spans="1:4" x14ac:dyDescent="0.25">
      <c r="A147" s="16"/>
      <c r="B147" s="75" t="s">
        <v>303</v>
      </c>
      <c r="C147" s="74" t="s">
        <v>335</v>
      </c>
      <c r="D147" s="69" t="s">
        <v>303</v>
      </c>
    </row>
    <row r="148" spans="1:4" x14ac:dyDescent="0.25">
      <c r="A148" s="16"/>
      <c r="B148" s="70" t="s">
        <v>295</v>
      </c>
      <c r="C148" s="71" t="s">
        <v>302</v>
      </c>
      <c r="D148" s="72" t="s">
        <v>339</v>
      </c>
    </row>
    <row r="149" spans="1:4" x14ac:dyDescent="0.25">
      <c r="A149" s="16"/>
      <c r="B149" s="70" t="s">
        <v>296</v>
      </c>
      <c r="C149" s="71"/>
      <c r="D149" s="71"/>
    </row>
    <row r="150" spans="1:4" x14ac:dyDescent="0.25">
      <c r="A150" s="16"/>
      <c r="B150" s="70" t="s">
        <v>319</v>
      </c>
      <c r="C150" s="71" t="s">
        <v>327</v>
      </c>
      <c r="D150" s="71" t="s">
        <v>288</v>
      </c>
    </row>
    <row r="151" spans="1:4" ht="30" x14ac:dyDescent="0.25">
      <c r="A151" s="16"/>
      <c r="B151" s="70" t="s">
        <v>320</v>
      </c>
      <c r="C151" s="71" t="s">
        <v>328</v>
      </c>
      <c r="D151" s="71" t="s">
        <v>288</v>
      </c>
    </row>
    <row r="152" spans="1:4" x14ac:dyDescent="0.25">
      <c r="A152" s="16"/>
      <c r="B152" s="70" t="s">
        <v>321</v>
      </c>
      <c r="C152" s="71" t="s">
        <v>329</v>
      </c>
      <c r="D152" s="71" t="s">
        <v>288</v>
      </c>
    </row>
    <row r="153" spans="1:4" x14ac:dyDescent="0.25">
      <c r="A153" s="16"/>
      <c r="B153" s="70" t="s">
        <v>322</v>
      </c>
      <c r="C153" s="71" t="s">
        <v>330</v>
      </c>
      <c r="D153" s="71" t="s">
        <v>288</v>
      </c>
    </row>
    <row r="154" spans="1:4" x14ac:dyDescent="0.25">
      <c r="A154" s="16"/>
      <c r="B154" s="70" t="s">
        <v>323</v>
      </c>
      <c r="C154" s="71" t="s">
        <v>331</v>
      </c>
      <c r="D154" s="71" t="s">
        <v>303</v>
      </c>
    </row>
    <row r="155" spans="1:4" x14ac:dyDescent="0.25">
      <c r="A155" s="16"/>
      <c r="B155" s="70" t="s">
        <v>324</v>
      </c>
      <c r="C155" s="71" t="s">
        <v>332</v>
      </c>
      <c r="D155" s="72" t="s">
        <v>339</v>
      </c>
    </row>
    <row r="156" spans="1:4" x14ac:dyDescent="0.25">
      <c r="A156" s="16"/>
      <c r="B156" s="70" t="s">
        <v>325</v>
      </c>
      <c r="C156" s="71" t="s">
        <v>333</v>
      </c>
      <c r="D156" s="71" t="s">
        <v>303</v>
      </c>
    </row>
    <row r="157" spans="1:4" x14ac:dyDescent="0.25">
      <c r="A157" s="16"/>
      <c r="B157" s="70" t="s">
        <v>336</v>
      </c>
      <c r="C157" s="71" t="s">
        <v>337</v>
      </c>
      <c r="D157" s="71" t="s">
        <v>303</v>
      </c>
    </row>
    <row r="158" spans="1:4" x14ac:dyDescent="0.25">
      <c r="A158" s="16"/>
      <c r="B158" s="70" t="s">
        <v>326</v>
      </c>
      <c r="C158" s="71" t="s">
        <v>334</v>
      </c>
      <c r="D158" s="72" t="s">
        <v>339</v>
      </c>
    </row>
    <row r="159" spans="1:4" x14ac:dyDescent="0.25">
      <c r="A159" s="16"/>
      <c r="B159" s="73" t="s">
        <v>311</v>
      </c>
      <c r="C159" s="72" t="s">
        <v>289</v>
      </c>
      <c r="D159" s="71" t="s">
        <v>288</v>
      </c>
    </row>
    <row r="160" spans="1:4" x14ac:dyDescent="0.25">
      <c r="A160" s="15"/>
      <c r="B160" s="70" t="s">
        <v>312</v>
      </c>
      <c r="C160" s="71" t="s">
        <v>308</v>
      </c>
      <c r="D160" s="71" t="s">
        <v>288</v>
      </c>
    </row>
    <row r="161" spans="1:4" x14ac:dyDescent="0.25">
      <c r="A161" s="15"/>
      <c r="B161" s="72" t="s">
        <v>313</v>
      </c>
      <c r="C161" s="72" t="s">
        <v>297</v>
      </c>
      <c r="D161" s="71" t="s">
        <v>288</v>
      </c>
    </row>
    <row r="162" spans="1:4" x14ac:dyDescent="0.25">
      <c r="A162" s="15"/>
      <c r="B162" s="70" t="s">
        <v>314</v>
      </c>
      <c r="C162" s="71" t="s">
        <v>298</v>
      </c>
      <c r="D162" s="71" t="s">
        <v>288</v>
      </c>
    </row>
    <row r="163" spans="1:4" x14ac:dyDescent="0.25">
      <c r="A163" s="15"/>
      <c r="B163" s="70" t="s">
        <v>315</v>
      </c>
      <c r="C163" s="71" t="s">
        <v>300</v>
      </c>
      <c r="D163" s="71" t="s">
        <v>303</v>
      </c>
    </row>
    <row r="164" spans="1:4" x14ac:dyDescent="0.25">
      <c r="A164" s="15"/>
      <c r="B164" s="70" t="s">
        <v>316</v>
      </c>
      <c r="C164" s="71" t="s">
        <v>299</v>
      </c>
      <c r="D164" s="72" t="s">
        <v>339</v>
      </c>
    </row>
    <row r="165" spans="1:4" x14ac:dyDescent="0.25">
      <c r="A165" s="15"/>
      <c r="B165" s="70" t="s">
        <v>317</v>
      </c>
      <c r="C165" s="71" t="s">
        <v>301</v>
      </c>
      <c r="D165" s="71" t="s">
        <v>303</v>
      </c>
    </row>
    <row r="166" spans="1:4" x14ac:dyDescent="0.25">
      <c r="A166" s="15"/>
      <c r="B166" s="70" t="s">
        <v>338</v>
      </c>
      <c r="C166" s="71" t="s">
        <v>335</v>
      </c>
      <c r="D166" s="71" t="s">
        <v>303</v>
      </c>
    </row>
    <row r="167" spans="1:4" x14ac:dyDescent="0.25">
      <c r="A167" s="15"/>
      <c r="B167" s="70" t="s">
        <v>318</v>
      </c>
      <c r="C167" s="71" t="s">
        <v>302</v>
      </c>
      <c r="D167" s="72" t="s">
        <v>339</v>
      </c>
    </row>
    <row r="168" spans="1:4" x14ac:dyDescent="0.25">
      <c r="A168" s="15"/>
    </row>
  </sheetData>
  <mergeCells count="145">
    <mergeCell ref="A136:J136"/>
    <mergeCell ref="B137:C137"/>
    <mergeCell ref="B135:C135"/>
    <mergeCell ref="A126:J126"/>
    <mergeCell ref="B127:C127"/>
    <mergeCell ref="B128:C128"/>
    <mergeCell ref="B129:C129"/>
    <mergeCell ref="B130:C130"/>
    <mergeCell ref="B131:C131"/>
    <mergeCell ref="B132:C132"/>
    <mergeCell ref="B133:C133"/>
    <mergeCell ref="B134:C134"/>
    <mergeCell ref="C120:J120"/>
    <mergeCell ref="B30:C30"/>
    <mergeCell ref="B33:C33"/>
    <mergeCell ref="B125:C125"/>
    <mergeCell ref="B123:C123"/>
    <mergeCell ref="B124:C124"/>
    <mergeCell ref="C12:J12"/>
    <mergeCell ref="C18:J18"/>
    <mergeCell ref="C38:J38"/>
    <mergeCell ref="C48:J48"/>
    <mergeCell ref="C55:J55"/>
    <mergeCell ref="B59:C59"/>
    <mergeCell ref="B100:C100"/>
    <mergeCell ref="B101:C101"/>
    <mergeCell ref="B102:C102"/>
    <mergeCell ref="B103:C103"/>
    <mergeCell ref="B119:C119"/>
    <mergeCell ref="B121:C121"/>
    <mergeCell ref="B122:C122"/>
    <mergeCell ref="B53:C53"/>
    <mergeCell ref="B54:C54"/>
    <mergeCell ref="B56:C56"/>
    <mergeCell ref="B114:C114"/>
    <mergeCell ref="B118:C118"/>
    <mergeCell ref="A48:B48"/>
    <mergeCell ref="A38:B38"/>
    <mergeCell ref="A18:B18"/>
    <mergeCell ref="B40:C40"/>
    <mergeCell ref="B42:C42"/>
    <mergeCell ref="B43:C43"/>
    <mergeCell ref="B41:C41"/>
    <mergeCell ref="B44:C44"/>
    <mergeCell ref="B28:C28"/>
    <mergeCell ref="B19:C19"/>
    <mergeCell ref="B20:C20"/>
    <mergeCell ref="B23:C23"/>
    <mergeCell ref="B24:C24"/>
    <mergeCell ref="B25:C25"/>
    <mergeCell ref="B27:C27"/>
    <mergeCell ref="B21:C21"/>
    <mergeCell ref="B22:C22"/>
    <mergeCell ref="B26:C26"/>
    <mergeCell ref="B29:C29"/>
    <mergeCell ref="B117:C117"/>
    <mergeCell ref="B46:C46"/>
    <mergeCell ref="B47:C47"/>
    <mergeCell ref="B49:C49"/>
    <mergeCell ref="B36:C36"/>
    <mergeCell ref="B39:C39"/>
    <mergeCell ref="B115:C115"/>
    <mergeCell ref="B116:C116"/>
    <mergeCell ref="B88:C88"/>
    <mergeCell ref="B78:C78"/>
    <mergeCell ref="B110:C110"/>
    <mergeCell ref="B111:C111"/>
    <mergeCell ref="B112:C112"/>
    <mergeCell ref="B113:C113"/>
    <mergeCell ref="B104:C104"/>
    <mergeCell ref="B105:C105"/>
    <mergeCell ref="B106:C106"/>
    <mergeCell ref="B107:C107"/>
    <mergeCell ref="B108:C108"/>
    <mergeCell ref="B82:C82"/>
    <mergeCell ref="B83:C83"/>
    <mergeCell ref="B89:C89"/>
    <mergeCell ref="C80:J80"/>
    <mergeCell ref="C66:J66"/>
    <mergeCell ref="A120:B120"/>
    <mergeCell ref="A66:B66"/>
    <mergeCell ref="A80:B80"/>
    <mergeCell ref="A90:J90"/>
    <mergeCell ref="B67:C67"/>
    <mergeCell ref="B68:C68"/>
    <mergeCell ref="B69:C69"/>
    <mergeCell ref="B70:C70"/>
    <mergeCell ref="B71:C71"/>
    <mergeCell ref="B72:C72"/>
    <mergeCell ref="B73:C73"/>
    <mergeCell ref="B74:C74"/>
    <mergeCell ref="B75:C75"/>
    <mergeCell ref="B76:C76"/>
    <mergeCell ref="B77:C77"/>
    <mergeCell ref="C99:J99"/>
    <mergeCell ref="B93:C93"/>
    <mergeCell ref="A98:J98"/>
    <mergeCell ref="A99:B99"/>
    <mergeCell ref="B109:C109"/>
    <mergeCell ref="B94:C94"/>
    <mergeCell ref="B95:C95"/>
    <mergeCell ref="B96:C96"/>
    <mergeCell ref="B97:C97"/>
    <mergeCell ref="B91:C91"/>
    <mergeCell ref="B92:C92"/>
    <mergeCell ref="B84:C84"/>
    <mergeCell ref="B85:C85"/>
    <mergeCell ref="B86:C86"/>
    <mergeCell ref="B87:C87"/>
    <mergeCell ref="B79:C79"/>
    <mergeCell ref="B81:C81"/>
    <mergeCell ref="A65:J65"/>
    <mergeCell ref="B60:C60"/>
    <mergeCell ref="B61:C61"/>
    <mergeCell ref="B62:C62"/>
    <mergeCell ref="B63:C63"/>
    <mergeCell ref="B64:C64"/>
    <mergeCell ref="B57:C57"/>
    <mergeCell ref="B58:C58"/>
    <mergeCell ref="A55:B55"/>
    <mergeCell ref="B50:C50"/>
    <mergeCell ref="B51:C51"/>
    <mergeCell ref="B52:C52"/>
    <mergeCell ref="B15:C15"/>
    <mergeCell ref="A3:B3"/>
    <mergeCell ref="B35:C35"/>
    <mergeCell ref="B31:C31"/>
    <mergeCell ref="B32:C32"/>
    <mergeCell ref="B34:C34"/>
    <mergeCell ref="B37:C37"/>
    <mergeCell ref="B45:C45"/>
    <mergeCell ref="A1:B1"/>
    <mergeCell ref="A2:B2"/>
    <mergeCell ref="A4:B4"/>
    <mergeCell ref="A7:J7"/>
    <mergeCell ref="A8:H8"/>
    <mergeCell ref="E9:G9"/>
    <mergeCell ref="A5:B5"/>
    <mergeCell ref="B10:C10"/>
    <mergeCell ref="B13:C13"/>
    <mergeCell ref="A12:B12"/>
    <mergeCell ref="A11:J11"/>
    <mergeCell ref="B16:C16"/>
    <mergeCell ref="B17:C17"/>
    <mergeCell ref="B14:C14"/>
  </mergeCells>
  <phoneticPr fontId="11" type="noConversion"/>
  <conditionalFormatting sqref="A13:C17">
    <cfRule type="expression" dxfId="13" priority="14">
      <formula>$F13&lt;&gt;""</formula>
    </cfRule>
  </conditionalFormatting>
  <conditionalFormatting sqref="A26 A19:C25 A27:C28 A30:C37 A29:B29">
    <cfRule type="expression" dxfId="12" priority="13">
      <formula>$F19&lt;&gt;""</formula>
    </cfRule>
  </conditionalFormatting>
  <conditionalFormatting sqref="A39:C47">
    <cfRule type="expression" dxfId="11" priority="12">
      <formula>$F39&lt;&gt;""</formula>
    </cfRule>
  </conditionalFormatting>
  <conditionalFormatting sqref="A49:C54">
    <cfRule type="expression" dxfId="10" priority="11">
      <formula>$F49&lt;&gt;""</formula>
    </cfRule>
  </conditionalFormatting>
  <conditionalFormatting sqref="A56:C64">
    <cfRule type="expression" dxfId="9" priority="10">
      <formula>$F56&lt;&gt;""</formula>
    </cfRule>
  </conditionalFormatting>
  <conditionalFormatting sqref="A67:C79">
    <cfRule type="expression" dxfId="8" priority="9">
      <formula>$F67&lt;&gt;""</formula>
    </cfRule>
  </conditionalFormatting>
  <conditionalFormatting sqref="A81:C89">
    <cfRule type="expression" dxfId="7" priority="8">
      <formula>$F81&lt;&gt;""</formula>
    </cfRule>
  </conditionalFormatting>
  <conditionalFormatting sqref="A91:C97">
    <cfRule type="expression" dxfId="6" priority="7">
      <formula>$F91&lt;&gt;""</formula>
    </cfRule>
  </conditionalFormatting>
  <conditionalFormatting sqref="A100:C119">
    <cfRule type="expression" dxfId="5" priority="6">
      <formula>$F100&lt;&gt;""</formula>
    </cfRule>
  </conditionalFormatting>
  <conditionalFormatting sqref="A121:C124">
    <cfRule type="expression" dxfId="4" priority="5">
      <formula>$F121&lt;&gt;""</formula>
    </cfRule>
  </conditionalFormatting>
  <conditionalFormatting sqref="A125:C125">
    <cfRule type="expression" dxfId="3" priority="4">
      <formula>$F125&lt;&gt;""</formula>
    </cfRule>
  </conditionalFormatting>
  <conditionalFormatting sqref="A127:C135">
    <cfRule type="expression" dxfId="2" priority="3">
      <formula>$F127&lt;&gt;""</formula>
    </cfRule>
  </conditionalFormatting>
  <conditionalFormatting sqref="B26:C26">
    <cfRule type="expression" dxfId="1" priority="2">
      <formula>$F26&lt;&gt;""</formula>
    </cfRule>
  </conditionalFormatting>
  <conditionalFormatting sqref="A137:C137">
    <cfRule type="expression" dxfId="0" priority="1">
      <formula>$F137&lt;&gt;""</formula>
    </cfRule>
  </conditionalFormatting>
  <hyperlinks>
    <hyperlink ref="B51" location="_bookmark12" display="_bookmark12" xr:uid="{289DABA6-98FC-4F98-8571-30EAB034286F}"/>
    <hyperlink ref="B56" location="_bookmark13" display="_bookmark13" xr:uid="{183523A3-BFE2-4D89-BAD3-00F40CEC50EA}"/>
    <hyperlink ref="B112" location="_bookmark18" display="_bookmark18" xr:uid="{21F65DC8-80CE-4048-8CF3-4553846F5ED2}"/>
  </hyperlinks>
  <pageMargins left="0.7" right="0.7" top="0.75" bottom="0.75" header="0.3" footer="0.3"/>
  <pageSetup orientation="portrait" r:id="rId1"/>
  <ignoredErrors>
    <ignoredError sqref="A27:A28 A3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HighlightedCell">
                <anchor moveWithCells="1" sizeWithCells="1">
                  <from>
                    <xdr:col>7</xdr:col>
                    <xdr:colOff>952500</xdr:colOff>
                    <xdr:row>1</xdr:row>
                    <xdr:rowOff>104775</xdr:rowOff>
                  </from>
                  <to>
                    <xdr:col>8</xdr:col>
                    <xdr:colOff>0</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DER Study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Nogosek</dc:creator>
  <cp:lastModifiedBy>Joe Nogosek</cp:lastModifiedBy>
  <dcterms:created xsi:type="dcterms:W3CDTF">2006-09-16T00:00:00Z</dcterms:created>
  <dcterms:modified xsi:type="dcterms:W3CDTF">2021-11-29T16:52:47Z</dcterms:modified>
</cp:coreProperties>
</file>