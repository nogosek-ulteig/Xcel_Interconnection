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uei.com\ulteig$\Projects\2021\21.00016\Reviews\"/>
    </mc:Choice>
  </mc:AlternateContent>
  <xr:revisionPtr revIDLastSave="0" documentId="13_ncr:1_{1C952F7D-F4F9-45F9-A57B-435D08BA7D77}" xr6:coauthVersionLast="47" xr6:coauthVersionMax="47" xr10:uidLastSave="{00000000-0000-0000-0000-000000000000}"/>
  <bookViews>
    <workbookView xWindow="28680" yWindow="-120" windowWidth="29040" windowHeight="15840" tabRatio="621" xr2:uid="{00000000-000D-0000-FFFF-FFFF00000000}"/>
  </bookViews>
  <sheets>
    <sheet name="DER Study" sheetId="17" r:id="rId1"/>
  </sheets>
  <externalReferences>
    <externalReference r:id="rId2"/>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 i="17" l="1" a="1"/>
  <c r="D4" i="17" s="1"/>
  <c r="K30" i="17"/>
  <c r="C3" i="17" a="1"/>
  <c r="C3" i="17" s="1"/>
  <c r="C2" i="17" a="1"/>
  <c r="C2" i="17" s="1"/>
  <c r="H13" i="17"/>
  <c r="H72" i="17"/>
  <c r="H74" i="17"/>
  <c r="H75" i="17"/>
  <c r="H66" i="17"/>
  <c r="H12" i="17"/>
  <c r="K65" i="17"/>
  <c r="K11"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66" i="17"/>
  <c r="K13" i="17"/>
  <c r="K14" i="17"/>
  <c r="K15" i="17"/>
  <c r="K16" i="17"/>
  <c r="K17" i="17"/>
  <c r="K18" i="17"/>
  <c r="K19" i="17"/>
  <c r="K20" i="17"/>
  <c r="K21" i="17"/>
  <c r="K22" i="17"/>
  <c r="K23" i="17"/>
  <c r="K24" i="17"/>
  <c r="K25" i="17"/>
  <c r="K26" i="17"/>
  <c r="K27" i="17"/>
  <c r="K28" i="17"/>
  <c r="K29"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12" i="17"/>
  <c r="H87" i="17" l="1"/>
  <c r="C4" i="17"/>
  <c r="F124" i="17" l="1"/>
  <c r="E124" i="1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<sst xmlns="http://schemas.openxmlformats.org/spreadsheetml/2006/main" count="347" uniqueCount="279">
  <si>
    <t>Revision Date</t>
  </si>
  <si>
    <t>QA/QC Engineer</t>
  </si>
  <si>
    <t>Date of QA/QC</t>
  </si>
  <si>
    <t>Yes</t>
  </si>
  <si>
    <t>No</t>
  </si>
  <si>
    <t>N/A</t>
  </si>
  <si>
    <t>Review Item</t>
  </si>
  <si>
    <t>Items to be completed by person who completed drawing/study</t>
  </si>
  <si>
    <t>Items to be completed by person doing the QA/QC</t>
  </si>
  <si>
    <t>Synergi Model Review</t>
  </si>
  <si>
    <t>Case Number</t>
  </si>
  <si>
    <t>Reviewer</t>
  </si>
  <si>
    <t>Section #</t>
  </si>
  <si>
    <t>Pass Review?</t>
  </si>
  <si>
    <t>3.6.2.1</t>
  </si>
  <si>
    <t>3.10</t>
  </si>
  <si>
    <t>3.11</t>
  </si>
  <si>
    <t>3.12</t>
  </si>
  <si>
    <t>3.13</t>
  </si>
  <si>
    <t>3.14</t>
  </si>
  <si>
    <t>3.15</t>
  </si>
  <si>
    <t>3.16</t>
  </si>
  <si>
    <t>3.17</t>
  </si>
  <si>
    <t>3.17.1</t>
  </si>
  <si>
    <t>3.17.2</t>
  </si>
  <si>
    <t>3.17.3</t>
  </si>
  <si>
    <t>3.17.4</t>
  </si>
  <si>
    <t>3.17.5</t>
  </si>
  <si>
    <t>3.17.6</t>
  </si>
  <si>
    <t>3.18</t>
  </si>
  <si>
    <t>Ground Referencing</t>
  </si>
  <si>
    <t>Systems Greater than 100 kW only</t>
  </si>
  <si>
    <t>AC Disconnect</t>
  </si>
  <si>
    <t>Metering</t>
  </si>
  <si>
    <t>Electrical Component Schematic</t>
  </si>
  <si>
    <t>Contact Info and General</t>
  </si>
  <si>
    <t>3.0 One-Line Diagram</t>
  </si>
  <si>
    <t>4.0 Site Plan</t>
  </si>
  <si>
    <t>4.1</t>
  </si>
  <si>
    <t>4.2</t>
  </si>
  <si>
    <t>4.2.1</t>
  </si>
  <si>
    <t>4.2.2</t>
  </si>
  <si>
    <t>4.2.3</t>
  </si>
  <si>
    <t>4.3</t>
  </si>
  <si>
    <t>4.4</t>
  </si>
  <si>
    <t>4.5</t>
  </si>
  <si>
    <t>4.6</t>
  </si>
  <si>
    <t>4.7</t>
  </si>
  <si>
    <t>4.7.1</t>
  </si>
  <si>
    <t>4.8</t>
  </si>
  <si>
    <t>4.8.1</t>
  </si>
  <si>
    <t>4.8.2</t>
  </si>
  <si>
    <t>4.8.3</t>
  </si>
  <si>
    <t>4.10</t>
  </si>
  <si>
    <t>4.11</t>
  </si>
  <si>
    <t>5.0 Label Details</t>
  </si>
  <si>
    <t>5.1</t>
  </si>
  <si>
    <t>5.2</t>
  </si>
  <si>
    <t>5.3</t>
  </si>
  <si>
    <t>5.3.1</t>
  </si>
  <si>
    <t>5.4</t>
  </si>
  <si>
    <t>5.4.1</t>
  </si>
  <si>
    <t>5.5</t>
  </si>
  <si>
    <t>6.1</t>
  </si>
  <si>
    <t>6.2</t>
  </si>
  <si>
    <t>6.2.1</t>
  </si>
  <si>
    <t>6.3</t>
  </si>
  <si>
    <t>6.4</t>
  </si>
  <si>
    <t>6.5</t>
  </si>
  <si>
    <t>6.6</t>
  </si>
  <si>
    <t>6.6.1</t>
  </si>
  <si>
    <t>6.6.2</t>
  </si>
  <si>
    <t>6.6.3</t>
  </si>
  <si>
    <t>6.6.4</t>
  </si>
  <si>
    <t>6.6.5</t>
  </si>
  <si>
    <t>6.6.6</t>
  </si>
  <si>
    <t>6.6.7</t>
  </si>
  <si>
    <t>6.6.8</t>
  </si>
  <si>
    <t>6.7</t>
  </si>
  <si>
    <t>6.8</t>
  </si>
  <si>
    <t>6.9</t>
  </si>
  <si>
    <t>Testing Applicable to 3 phase systems only</t>
  </si>
  <si>
    <t>6.10</t>
  </si>
  <si>
    <t>6.10.1</t>
  </si>
  <si>
    <t>6.10.2</t>
  </si>
  <si>
    <t>6.11</t>
  </si>
  <si>
    <t>Status (Approved/Rejected)</t>
  </si>
  <si>
    <t>A note indicating that the design shall meet National Electric Code (NEC codes) requirements</t>
  </si>
  <si>
    <t>Production meter, if applicable, with ownership noted (utility or customer)</t>
  </si>
  <si>
    <t>3.17.6.1</t>
  </si>
  <si>
    <t>6.6.6.1</t>
  </si>
  <si>
    <t>6.6.7.1</t>
  </si>
  <si>
    <t>        Address shall match the premise address for existing customer/services</t>
  </si>
  <si>
    <t>        Steps that verify DER system is ready to be energized</t>
  </si>
  <si>
    <t>        Steps to verify labeling for the Main Service Panel, DER Protection, DC Disconnect, AC disconnect, Utility AC disconnect, Production Meter (when applicable) and other relevant labelling and signage</t>
  </si>
  <si>
    <t>        Steps to energize the DER system</t>
  </si>
  <si>
    <t>        While in normal operation, steps to verify the voltages at the DER AC terminals are within 5% of the combined DER AC voltage ratings and all LEDs, alarms, and/or LCD codes are “normal”</t>
  </si>
  <si>
    <t>        While in normal operation, steps to verify that all DER units are operational and producing power</t>
  </si>
  <si>
    <t>        Using a voltmeter, verify the voltage at the inverter side of the AC disconnect has dropped to zero</t>
  </si>
  <si>
    <t>        Using an ammeter or the DER’s display/metering, verify the DER has ceased to energize within two seconds. For three phase systems, three phase monitoring may be required.</t>
  </si>
  <si>
    <t>        If ground referencing equipment is present, the open point must occur upstream of this device (upstream meaning in the direction of the utility source)</t>
  </si>
  <si>
    <t>        If the protection scheme used to detect the open phase uses devices other than the inverter (for instance, separate relaying to trip a VFI or breaker), the installer must provide an engineering analysis that demonstrates a non-detection zone does not exist when the output of the DER is 5% or greater of the aggregate inverter AC nameplate rating in the open-phase detection schemes. A step will be required to disable this setting during testing if an acceptable engineering analysis cannot be provided.</t>
  </si>
  <si>
    <t>        Name of Customer who owns service, the Xcel Energy “customer of record” for existing services</t>
  </si>
  <si>
    <t>        Installation premise address shall match application address</t>
  </si>
  <si>
    <t>        Application OID, SRC, or case number assigned to the project</t>
  </si>
  <si>
    <t>        A note stating “All testing shall be performed by qualified personnel”</t>
  </si>
  <si>
    <t>        The procedure shall provide steps to verify fixed power factor settings for each inverter meet the project requirements</t>
  </si>
  <si>
    <t>        The unintentional islanding test shall at minimum contain the following steps:</t>
  </si>
  <si>
    <t>        Verify DER LEDs, alarms, and/or LCD codes are appropriate for loss of Utility source</t>
  </si>
  <si>
    <t>        Steps to restore the lost Utility source shall be listed</t>
  </si>
  <si>
    <t>        A step to verify that the inverter system delays five (5) minutes before resuming power output after the Utility source is restored shall be listed</t>
  </si>
  <si>
    <t>        For three-phase systems, steps to simulate an open phase condition from the utility shall be included. The device used to create an open phase shall be clearly identified in the procedure.</t>
  </si>
  <si>
    <t>        Steps to verify voltage and current are to be listed for the open-phase test. Location of measurement points shall be identified.</t>
  </si>
  <si>
    <t>         When an Energy Storage System (ESS) is present, include a label stating that an ESS is present and equipped with an auto-transfer switch</t>
  </si>
  <si>
    <t>         When multiple DER units are present, if a single Utility AC Disconnect cannot be used to disconnect all DER, all Utility AC Disconnects should include numerical identification such as “Utility AC Disconnect 1 of 2” or similar. The number of disconnects required to be operated to isolate the DER from the utility should be clear.</t>
  </si>
  <si>
    <t>        Labels shall be weatherproof, durable and permanently mounted</t>
  </si>
  <si>
    <t>        Labels shall demonstrate or state compliance with NEC 690</t>
  </si>
  <si>
    <t>        A label shall be included on Main Service Meter with the text “Generation System Connected”, or similar</t>
  </si>
  <si>
    <t>        Include label “Utility AC Disconnect”, or similar</t>
  </si>
  <si>
    <t>        When multiple DER units are existing or proposed on a single service: equipment for each system shall be uniquely identified through labelling (i.e. “PV Unit 1 of 2” or similar)</t>
  </si>
  <si>
    <t>        Installation address shall match application address</t>
  </si>
  <si>
    <t>        Installation address shall match the premise address for existing customer/services</t>
  </si>
  <si>
    <t>        Primary vs secondary interconnection shall be clearly noted and consistent with all other documentation</t>
  </si>
  <si>
    <t>        For dedicated power production facilities: when an overhead primary service interconnection is used, the customer pole shall be no less than 25’ from the Xcel Energy meter pole. Typical acceptable distance from the Xcel Energy meter pole to the customer pole is 40’</t>
  </si>
  <si>
    <t>        Installer name &amp; contact information</t>
  </si>
  <si>
    <t>        24/7 unescorted keyless access shall be provided to all Xcel Energy equipment</t>
  </si>
  <si>
    <t>         Primary vs secondary interconnection shall be clearly noted and consistent with all other provided documentation</t>
  </si>
  <si>
    <t>         For single-phase installations, the meter shall be specified as 1-phase, 3-wire</t>
  </si>
  <si>
    <t>         For three-phase installations, the meter shall be specified as 3-phase, 4-wire</t>
  </si>
  <si>
    <t>         No loads or energy storage systems shall be connected on the DER side of the production meter.</t>
  </si>
  <si>
    <t>         Production Meter CT polarity should be shown on the drawing as facing the PV, i.e. H1 of the CT faces the inverter such that DER is seen by the production meter as kWh delivered</t>
  </si>
  <si>
    <t>         When present, customer owned meters shall be clearly noted as “provided by customer”</t>
  </si>
  <si>
    <t>        The aggregate AC capacity of each DER system</t>
  </si>
  <si>
    <t>        For systems with an output of 200 amps or more: any Xcel-owned metering requiring PTs shall be shown with the PTs unfused</t>
  </si>
  <si>
    <t>         If the AC disconnect is not located within 10 feet of the main service meter, a label meeting all requirements of the “Label Details” section should be placed at the main service meter clearly showing the location of the AC Disconnect</t>
  </si>
  <si>
    <t>         All Xcel-owned production meters shall be installed at an Xcel Energy standard voltage</t>
  </si>
  <si>
    <t>Pass QA</t>
  </si>
  <si>
    <t>Fail QA</t>
  </si>
  <si>
    <t>Training Notes</t>
  </si>
  <si>
    <t>        Steps to simulate the loss of utility source for the unintentional islanding test shall be</t>
  </si>
  <si>
    <t>Clearly identify the disconnection device being used to simulate this utility power outage</t>
  </si>
  <si>
    <t>Only customer-owned equipment shall be used for this verification. Xcel Energy will not provide special equipment for this verification. Xcel Energy provided meters shall not be used for this verification.</t>
  </si>
  <si>
    <t>         Customer owned meters shall not be located on the DER side of the Xcel Energy production meter</t>
  </si>
  <si>
    <t>Review Notes (include condition Pass or auto reject)</t>
  </si>
  <si>
    <t>Must match SalesForce</t>
  </si>
  <si>
    <t>verify all necessary equipment is shown</t>
  </si>
  <si>
    <t>auto reject if not shown or shown incorrect, needs to be within 10' of meter</t>
  </si>
  <si>
    <t>Max DER output is combination of all inverters</t>
  </si>
  <si>
    <t>This will only be known if additional systems are shown on the one-line, if none shown this can be ignored</t>
  </si>
  <si>
    <t>Not working on these yet</t>
  </si>
  <si>
    <t>auxiliary is very rare so likely mark N/A, it may be seen on larger or tracking type systems</t>
  </si>
  <si>
    <t xml:space="preserve">Auto reject if loads shown between meter and inverter. </t>
  </si>
  <si>
    <t>If customer owns meter that needs to be stated and located on load side of utility production meter</t>
  </si>
  <si>
    <t>Address does not qualify as contact info, need e-mail or phone. Can conditionally approve with just address, but needs to be noted</t>
  </si>
  <si>
    <t>If driveway doesn't extend to meter location it is acceptable for access to be via walking for residential applications</t>
  </si>
  <si>
    <t>DO NOT NEED TO TEST PRINT - if you do print can be rejected if it doesn’t line up with 11x17 but not necessary</t>
  </si>
  <si>
    <t>This should be included but not always necessary as many smaller units don't have an adjustment for this. Use discretion</t>
  </si>
  <si>
    <t>As simple as just stating</t>
  </si>
  <si>
    <t>Can conditionally approve without this statement</t>
  </si>
  <si>
    <t>note how open point is identified and RPA (see 3.3) is on inverter side</t>
  </si>
  <si>
    <t>MUST SAY - voltage drops TO zero NOT near zero</t>
  </si>
  <si>
    <t>Must match SalesForce - Application Roles section under "Customer"</t>
  </si>
  <si>
    <t>Due Date</t>
  </si>
  <si>
    <t>breaker or fuse</t>
  </si>
  <si>
    <t>voltage and amp ratings</t>
  </si>
  <si>
    <t>"readily accessible" just needs to be stated, "Utility" must be included in name of disconnect</t>
  </si>
  <si>
    <t>Need distance to nearest cross street displayed if to far to be shown in plan, Map screenshot that shows DER location and nearest cross street is acceptable</t>
  </si>
  <si>
    <t>Main service entrance only needs to be shown when equipment is located in a building</t>
  </si>
  <si>
    <t>At a minimum between Utility AC Disconnect, Production meter, Main service protection, Main Service Meter</t>
  </si>
  <si>
    <t>If not shown here, but shown correctly on one-line - Conditionally Approve</t>
  </si>
  <si>
    <t>"Photovoltaic System Connected" "Dual Power Source connected" are some other common wordings</t>
  </si>
  <si>
    <t>Ensure this is only on the "Utility AC Disconnect"</t>
  </si>
  <si>
    <t>should be actual process not just a line stating energize DER, should include a 5 minute boot time for inverter or state "after the system is in normal operation" or similar</t>
  </si>
  <si>
    <t>Conditionally approved without, but add note that it is required</t>
  </si>
  <si>
    <t>Auto reject if not shown</t>
  </si>
  <si>
    <t>Production meter not provided for gardens</t>
  </si>
  <si>
    <t>can be marked with line (DER) and load (utility) notation - on CTs Dot is load side</t>
  </si>
  <si>
    <t>Need statement</t>
  </si>
  <si>
    <t>shown or stated</t>
  </si>
  <si>
    <t>can't have 2 poles closer than 25' apart</t>
  </si>
  <si>
    <t>okay to approve if more due to overheadpole restriction in 4.8.3</t>
  </si>
  <si>
    <r>
      <t xml:space="preserve">Required for solar*rewards program (identified under programs in salesforce) - </t>
    </r>
    <r>
      <rPr>
        <b/>
        <sz val="9"/>
        <color theme="1"/>
        <rFont val="Calibri"/>
        <family val="2"/>
        <scheme val="minor"/>
      </rPr>
      <t>See table on right</t>
    </r>
  </si>
  <si>
    <t>Solar*Rewards Community (Gardens) Don't require test procedure)</t>
  </si>
  <si>
    <t>should match open point described in testing procedure - conditional approval  if they don't match</t>
  </si>
  <si>
    <r>
      <t xml:space="preserve">This will almost always be secondary, especially on residential units; </t>
    </r>
    <r>
      <rPr>
        <b/>
        <sz val="9"/>
        <color theme="1"/>
        <rFont val="Calibri"/>
        <family val="2"/>
        <scheme val="minor"/>
      </rPr>
      <t>Only need to show interconnection voltage (i.e. secondary 120/240V at meter)</t>
    </r>
  </si>
  <si>
    <t>don't need to state on site plan - this is just verifying spacing</t>
  </si>
  <si>
    <t>Only check for step verifying labels, don’t need to check accuracy</t>
  </si>
  <si>
    <t>No longer req'd</t>
  </si>
  <si>
    <r>
      <t xml:space="preserve">Note from Alan: </t>
    </r>
    <r>
      <rPr>
        <i/>
        <sz val="9"/>
        <color theme="1"/>
        <rFont val="Calibri"/>
        <family val="2"/>
        <scheme val="minor"/>
      </rPr>
      <t>"If they indicate that the DC coupled battery is only ever charged from the solar, this configuration will work with Solar*Rewards. I know that the SolarEdge inverters specifically have the capability, but I want to see a note on the one-line about it first. It’s a mode that needs to be enabled. "</t>
    </r>
  </si>
  <si>
    <t>x</t>
  </si>
  <si>
    <t>NEW</t>
  </si>
  <si>
    <t xml:space="preserve">If used, indicate any control system, such as a power control system or plant controller. Give a functional description of the control system. </t>
  </si>
  <si>
    <t xml:space="preserve">A description of the system should be provided to help the reviewer understand the goals or purpose of the control system. If the control system relies on additional sensors, such CTs or PTs, these should be indicated and referenced in the description.  </t>
  </si>
  <si>
    <t>Labels and Witness Test Procedure will need to be provided later in the process. Please refer to the TSM for these requirements.</t>
  </si>
  <si>
    <t>OVER 40kW ONLY</t>
  </si>
  <si>
    <t>3.4</t>
  </si>
  <si>
    <t>3.5</t>
  </si>
  <si>
    <t>3.5 - Note</t>
  </si>
  <si>
    <t>3.6</t>
  </si>
  <si>
    <t>3.7</t>
  </si>
  <si>
    <t>3.9</t>
  </si>
  <si>
    <t>3.7 - Note</t>
  </si>
  <si>
    <t>3.8</t>
  </si>
  <si>
    <t>3-phase system could use 3 1-phase inverters</t>
  </si>
  <si>
    <t>3.21</t>
  </si>
  <si>
    <t>3.21.1</t>
  </si>
  <si>
    <t>3.21.2</t>
  </si>
  <si>
    <t>3.21.3</t>
  </si>
  <si>
    <t>3.21.4</t>
  </si>
  <si>
    <t>3.22</t>
  </si>
  <si>
    <t>3.22.1</t>
  </si>
  <si>
    <t>3.22.1.1</t>
  </si>
  <si>
    <t>3.22.1.2</t>
  </si>
  <si>
    <t>3.22.1.3</t>
  </si>
  <si>
    <t>3.22.1.4</t>
  </si>
  <si>
    <t>3.22.1.5</t>
  </si>
  <si>
    <t>3.22.2</t>
  </si>
  <si>
    <t>3.22.2.1</t>
  </si>
  <si>
    <t>4.5 - Note</t>
  </si>
  <si>
    <t>Notes to Include</t>
  </si>
  <si>
    <t>MUST INCLUDE THIS NOTE IN APPROVALCOMMENTS</t>
  </si>
  <si>
    <t>Additional Step for Xcel Purposes</t>
  </si>
  <si>
    <t>Ensure feeder number is populated</t>
  </si>
  <si>
    <t>If missing, mark no and this will get addressed during QC for now</t>
  </si>
  <si>
    <t>Click the button to copy the highlighted cell below and then paste into approval/rejection notes on SF.</t>
  </si>
  <si>
    <t xml:space="preserve">Name of Customer who owns/will own service, the Xcel Energy “customer of record” for existing services. </t>
  </si>
  <si>
    <t xml:space="preserve">Application case number assigned to the project. </t>
  </si>
  <si>
    <t xml:space="preserve">Clearly identify the Reference Point of Applicability (RPA) and denote the RPA where test and verification features will be applied in the written test procedure. </t>
  </si>
  <si>
    <t xml:space="preserve">For systems larger than 250 kW, a signature from a professional engineer licensed in Minnesota is required. </t>
  </si>
  <si>
    <t xml:space="preserve">Label and show the electrical layout of all equipment in-line between the main service meter and the DER system. </t>
  </si>
  <si>
    <t xml:space="preserve">The equipment listed shall include, at a minimum, switches, breakers, fuses, junction boxes, combiner boxes, protective devices, etc. </t>
  </si>
  <si>
    <t xml:space="preserve">All customer equipment shall be located on the customer-side of the main service meter. </t>
  </si>
  <si>
    <t xml:space="preserve">Main Service meter and main service panel. </t>
  </si>
  <si>
    <t xml:space="preserve">Main service protection between DER and the utility. </t>
  </si>
  <si>
    <t xml:space="preserve">The protective device shall be provided immediately after the main service meter. </t>
  </si>
  <si>
    <t xml:space="preserve">The main service meter voltage and number of phases. If present, any transformer winding configuration and voltages. </t>
  </si>
  <si>
    <t xml:space="preserve">Aggregate kW AC nameplate rating of each DER system. </t>
  </si>
  <si>
    <t xml:space="preserve">AC Voltage of the DER System. </t>
  </si>
  <si>
    <t xml:space="preserve">The expected individual kW AC nameplate rating of each inverter. </t>
  </si>
  <si>
    <t xml:space="preserve">Phases of inverters (single or three-phase inverters). </t>
  </si>
  <si>
    <t xml:space="preserve">Phases of DER system. </t>
  </si>
  <si>
    <t xml:space="preserve">When multiple DER units are existing or proposed on a single service: all DER systems shall be shown with proposed and existing marked. </t>
  </si>
  <si>
    <t xml:space="preserve">For energy storage systems: the mode of operation being applied for shall be clearly indicated. </t>
  </si>
  <si>
    <t xml:space="preserve">The circuit for auxiliary equipment power necessary to the operation of the DER shall be shown. </t>
  </si>
  <si>
    <t xml:space="preserve">Ground referencing equipment shall be installed between the main service meter and production meter to provide a ground reference for the system. </t>
  </si>
  <si>
    <t xml:space="preserve">A visible-open type, lockable, and readily accessible AC disconnect for purposes of isolating the DER from the utility source labeled “Utility AC Disconnect,” “Photovoltaic Utility AC Disconnect,” or similar shall be shown. </t>
  </si>
  <si>
    <t xml:space="preserve">Other AC Disconnects shall not be labeled or identified as a “Utility” AC Disconnect, if applicable. </t>
  </si>
  <si>
    <t xml:space="preserve">For installations that require a Production Meter, the Utility AC Disconnect shall be located between the DER and production meter. </t>
  </si>
  <si>
    <t xml:space="preserve">For installations not requiring a Production Meter, the Utility AC Disconnect shall be located between the DER and main service. </t>
  </si>
  <si>
    <t xml:space="preserve">When multiple DER units are existing or proposed on a single service: if a single Utility AC Disconnect cannot be used to disconnect all DER, all Utility AC Disconnects should include numerical identification such as “Utility AC Disconnect 1 of 2” or similar. The number of disconnects required to be operated to isolate the DER from the utility should be clear. </t>
  </si>
  <si>
    <t>Details of the ground reference equipment required on the one-line:</t>
  </si>
  <si>
    <t xml:space="preserve">Type/winding configuration of ground referencing equipment. </t>
  </si>
  <si>
    <t xml:space="preserve">X0 value. </t>
  </si>
  <si>
    <t xml:space="preserve">X0/R0 ratio. </t>
  </si>
  <si>
    <t xml:space="preserve">Neutral current rating. </t>
  </si>
  <si>
    <t xml:space="preserve">Equipment fault withstand rating. </t>
  </si>
  <si>
    <t xml:space="preserve">Loss of ground referencing equipment shall immediately trip the DER system offline. </t>
  </si>
  <si>
    <t xml:space="preserve">The method of monitoring and tripping shall be shown on the one-line. </t>
  </si>
  <si>
    <t xml:space="preserve">Name of Customer who owns/will own the service, the Xcel Energy “customer of record” for existing services. </t>
  </si>
  <si>
    <t xml:space="preserve">Installation premise address. </t>
  </si>
  <si>
    <t xml:space="preserve">For dedicated power production facility interconnection applications: GPS Coordinates in WGS 94 decimal degrees, with municipality and county are acceptable in place of an address when one has not yet been established by the county. </t>
  </si>
  <si>
    <t xml:space="preserve">Application OID, SRC, or case number assigned to the project. </t>
  </si>
  <si>
    <t xml:space="preserve">Building(s) and streets shall be labelled. </t>
  </si>
  <si>
    <t xml:space="preserve">A minimum of one street should be included on the site plan, with the name, distance, and direction to the nearest cross street, if the nearest cross street is not shown. </t>
  </si>
  <si>
    <t xml:space="preserve">Compass direction (indicate North). </t>
  </si>
  <si>
    <t xml:space="preserve">For ground mounted systems: an access road is required to all Xcel Energy equipment, including production metering and Utility AC disconnects. For systems smaller than 100 kW, an exception may be sought for this requirement, based on equipment location and accessibility. </t>
  </si>
  <si>
    <t xml:space="preserve">The width of this road shall be indicated and cannot be less than 12 feet wide. </t>
  </si>
  <si>
    <t xml:space="preserve">The drawing shall show the route from a public road to the Xcel Energy equipment. </t>
  </si>
  <si>
    <t xml:space="preserve">Main service entrance, all meter locations, disconnects, transformers, proposed and existing DER systems. </t>
  </si>
  <si>
    <t xml:space="preserve">Distance shall be noted between this equipment. </t>
  </si>
  <si>
    <t xml:space="preserve">The Production Meter and AC Disconnect should be located together in a readily accessible location within 10’ of the main service meter. </t>
  </si>
  <si>
    <t xml:space="preserve">Position, distance and clearance concerns of overhead electric service lines and/or other utilities in relation to the PV panels shall be noted. </t>
  </si>
  <si>
    <t xml:space="preserve">A separate Detail View or Plan View may be required to clearly show location of meters, main service and AC disconnect, when the site layout is unclear or illegible when printed on an 11”x17” sheet. </t>
  </si>
  <si>
    <t>Missing grounding calculations can be CA'd for neutral reactors (they still need to show the neutral reactor on the oneline as well as the monitoring and tripping methods).</t>
  </si>
  <si>
    <t>If missing, can be CA'd when the DER is a secondary behind-the-meter application (does not include gardens).</t>
  </si>
  <si>
    <t xml:space="preserve">If the AC disconnect or Production Meter is not located within 10 feet of the main service meter, a label meeting all requirements of the “Label Details” section should be placed at the main service meter clearly showing the location of the AC Disconnect. </t>
  </si>
  <si>
    <t>Verify inverter listed on oneline matches what is listed on Salesforce.</t>
  </si>
  <si>
    <t>Inverter details can be found in the 'Application Assests' section in Salesforce.</t>
  </si>
  <si>
    <t>3.11 - Note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</si>
</sst>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1"/>
      <name val="Calibri"/>
      <family val="2"/>
      <scheme val="minor"/>
    </font>
    <font>
      <sz val="9"/>
      <color theme="1"/>
      <name val="Calibri"/>
      <family val="2"/>
      <scheme val="minor"/>
    </font>
    <font>
      <b/>
      <sz val="9"/>
      <color theme="1"/>
      <name val="Calibri"/>
      <family val="2"/>
      <scheme val="minor"/>
    </font>
    <font>
      <b/>
      <sz val="12"/>
      <color theme="1"/>
      <name val="Calibri"/>
      <family val="2"/>
      <scheme val="minor"/>
    </font>
    <font>
      <b/>
      <sz val="11"/>
      <name val="Calibri"/>
      <family val="2"/>
      <scheme val="minor"/>
    </font>
    <font>
      <sz val="11"/>
      <color rgb="FFFF0000"/>
      <name val="Calibri"/>
      <family val="2"/>
      <scheme val="minor"/>
    </font>
    <font>
      <i/>
      <sz val="9"/>
      <color theme="1"/>
      <name val="Calibri"/>
      <family val="2"/>
      <scheme val="minor"/>
    </font>
    <font>
      <b/>
      <sz val="16"/>
      <color theme="1"/>
      <name val="Calibri"/>
      <family val="2"/>
      <scheme val="minor"/>
    </font>
    <font>
      <sz val="11"/>
      <color rgb="FF000000"/>
      <name val="Calibri"/>
      <family val="2"/>
    </font>
    <font>
      <sz val="8"/>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FF0000"/>
        <bgColor indexed="64"/>
      </patternFill>
    </fill>
    <fill>
      <patternFill patternType="solid">
        <fgColor theme="7" tint="0.59999389629810485"/>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diagonal/>
    </border>
  </borders>
  <cellStyleXfs count="1">
    <xf numFmtId="0" fontId="0" fillId="0" borderId="0"/>
  </cellStyleXfs>
  <cellXfs count="97">
    <xf numFmtId="0" fontId="0" fillId="0" borderId="0" xfId="0"/>
    <xf numFmtId="0" fontId="1" fillId="0" borderId="0" xfId="0" applyFont="1"/>
    <xf numFmtId="0" fontId="1" fillId="2" borderId="1" xfId="0" applyFont="1" applyFill="1" applyBorder="1"/>
    <xf numFmtId="0" fontId="0" fillId="0" borderId="0" xfId="0" applyAlignment="1">
      <alignment horizontal="center"/>
    </xf>
    <xf numFmtId="0" fontId="0" fillId="0" borderId="1" xfId="0" applyBorder="1" applyAlignment="1">
      <alignment horizontal="center" wrapText="1"/>
    </xf>
    <xf numFmtId="0" fontId="0" fillId="4" borderId="0" xfId="0" applyFill="1" applyAlignment="1">
      <alignment wrapText="1"/>
    </xf>
    <xf numFmtId="0" fontId="0" fillId="3" borderId="0" xfId="0" applyFill="1" applyAlignment="1">
      <alignment wrapText="1"/>
    </xf>
    <xf numFmtId="0" fontId="0" fillId="0" borderId="0" xfId="0" applyAlignment="1">
      <alignment wrapText="1"/>
    </xf>
    <xf numFmtId="0" fontId="0" fillId="0" borderId="1" xfId="0" applyBorder="1" applyAlignment="1">
      <alignment wrapText="1"/>
    </xf>
    <xf numFmtId="14" fontId="0" fillId="4" borderId="1" xfId="0" applyNumberFormat="1" applyFill="1" applyBorder="1" applyAlignment="1">
      <alignment horizontal="left"/>
    </xf>
    <xf numFmtId="0" fontId="1" fillId="2" borderId="2" xfId="0" applyFont="1" applyFill="1" applyBorder="1" applyAlignment="1">
      <alignment horizontal="center"/>
    </xf>
    <xf numFmtId="0" fontId="0" fillId="3" borderId="11" xfId="0" applyFill="1" applyBorder="1" applyAlignment="1"/>
    <xf numFmtId="14" fontId="0" fillId="3" borderId="12" xfId="0" applyNumberFormat="1" applyFill="1" applyBorder="1" applyAlignment="1"/>
    <xf numFmtId="0" fontId="0" fillId="0" borderId="0" xfId="0" applyAlignment="1"/>
    <xf numFmtId="0" fontId="0" fillId="0" borderId="13" xfId="0" applyBorder="1" applyAlignment="1"/>
    <xf numFmtId="2" fontId="0" fillId="0" borderId="0" xfId="0" applyNumberFormat="1"/>
    <xf numFmtId="49" fontId="0" fillId="0" borderId="0" xfId="0" applyNumberFormat="1"/>
    <xf numFmtId="0" fontId="1" fillId="2" borderId="14" xfId="0" applyFont="1" applyFill="1" applyBorder="1" applyAlignment="1">
      <alignment horizontal="center"/>
    </xf>
    <xf numFmtId="0" fontId="1" fillId="4" borderId="14" xfId="0" applyFont="1" applyFill="1" applyBorder="1" applyAlignment="1">
      <alignment horizontal="center" vertical="center"/>
    </xf>
    <xf numFmtId="0" fontId="0" fillId="0" borderId="14" xfId="0" applyBorder="1" applyAlignment="1">
      <alignment wrapText="1"/>
    </xf>
    <xf numFmtId="14" fontId="1" fillId="3" borderId="12" xfId="0" applyNumberFormat="1" applyFont="1" applyFill="1" applyBorder="1" applyAlignment="1">
      <alignment horizontal="center" vertical="center"/>
    </xf>
    <xf numFmtId="0" fontId="3" fillId="0" borderId="1" xfId="0" applyFont="1" applyBorder="1" applyAlignment="1">
      <alignment horizontal="center" vertical="center" wrapText="1"/>
    </xf>
    <xf numFmtId="0" fontId="0" fillId="4" borderId="1" xfId="0" applyFill="1" applyBorder="1" applyAlignment="1">
      <alignment horizontal="center" wrapText="1"/>
    </xf>
    <xf numFmtId="0" fontId="0" fillId="4" borderId="14" xfId="0" applyFill="1" applyBorder="1" applyAlignment="1">
      <alignment horizontal="center" wrapText="1"/>
    </xf>
    <xf numFmtId="49" fontId="6" fillId="0" borderId="1" xfId="0" applyNumberFormat="1" applyFont="1" applyBorder="1" applyAlignment="1">
      <alignment horizontal="center" vertical="center" wrapText="1"/>
    </xf>
    <xf numFmtId="49" fontId="6" fillId="0" borderId="5" xfId="0" applyNumberFormat="1" applyFont="1" applyBorder="1" applyAlignment="1">
      <alignment horizontal="center" vertical="center" wrapText="1"/>
    </xf>
    <xf numFmtId="49" fontId="1" fillId="0" borderId="5" xfId="0" applyNumberFormat="1" applyFont="1" applyBorder="1" applyAlignment="1">
      <alignment horizontal="center" vertical="center" wrapText="1"/>
    </xf>
    <xf numFmtId="49" fontId="1" fillId="0" borderId="1" xfId="0" applyNumberFormat="1" applyFont="1" applyBorder="1" applyAlignment="1">
      <alignment horizontal="center" vertical="center" wrapText="1"/>
    </xf>
    <xf numFmtId="49" fontId="4" fillId="0" borderId="1" xfId="0" applyNumberFormat="1" applyFont="1" applyBorder="1" applyAlignment="1">
      <alignment horizontal="center" vertical="center" wrapText="1"/>
    </xf>
    <xf numFmtId="49" fontId="1" fillId="0" borderId="14" xfId="0" applyNumberFormat="1" applyFont="1" applyBorder="1" applyAlignment="1">
      <alignment horizontal="center" vertical="center" wrapText="1"/>
    </xf>
    <xf numFmtId="49" fontId="1" fillId="0" borderId="1" xfId="0" applyNumberFormat="1" applyFont="1" applyBorder="1" applyAlignment="1">
      <alignment horizontal="center" wrapText="1"/>
    </xf>
    <xf numFmtId="0" fontId="0" fillId="3" borderId="1" xfId="0" applyFill="1" applyBorder="1" applyAlignment="1">
      <alignment horizontal="center" wrapText="1"/>
    </xf>
    <xf numFmtId="0" fontId="0" fillId="3" borderId="1" xfId="0" applyFill="1" applyBorder="1" applyAlignment="1">
      <alignment wrapText="1"/>
    </xf>
    <xf numFmtId="0" fontId="0" fillId="3" borderId="0" xfId="0" applyFill="1" applyBorder="1" applyAlignment="1">
      <alignment wrapText="1"/>
    </xf>
    <xf numFmtId="0" fontId="0" fillId="3" borderId="0" xfId="0" applyFill="1" applyBorder="1" applyAlignment="1">
      <alignment horizontal="center" wrapText="1"/>
    </xf>
    <xf numFmtId="0" fontId="3" fillId="2" borderId="5" xfId="0" applyFont="1" applyFill="1" applyBorder="1" applyAlignment="1">
      <alignment vertical="center" wrapText="1"/>
    </xf>
    <xf numFmtId="0" fontId="3" fillId="2" borderId="7" xfId="0" applyFont="1" applyFill="1" applyBorder="1" applyAlignment="1">
      <alignment vertical="center" wrapText="1"/>
    </xf>
    <xf numFmtId="0" fontId="3" fillId="2" borderId="6" xfId="0" applyFont="1" applyFill="1" applyBorder="1" applyAlignment="1">
      <alignment vertical="center" wrapText="1"/>
    </xf>
    <xf numFmtId="0" fontId="3" fillId="2" borderId="1" xfId="0" applyFont="1" applyFill="1" applyBorder="1" applyAlignment="1">
      <alignment horizontal="center" vertical="center" wrapText="1"/>
    </xf>
    <xf numFmtId="0" fontId="0" fillId="2" borderId="1" xfId="0" applyFill="1" applyBorder="1" applyAlignment="1">
      <alignment horizontal="center" wrapText="1"/>
    </xf>
    <xf numFmtId="0" fontId="0" fillId="2" borderId="1" xfId="0" applyFill="1" applyBorder="1" applyAlignment="1">
      <alignment wrapText="1"/>
    </xf>
    <xf numFmtId="49" fontId="4" fillId="2" borderId="1" xfId="0" applyNumberFormat="1"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9" fillId="5" borderId="0" xfId="0" applyFont="1" applyFill="1" applyAlignment="1">
      <alignment horizontal="center" vertical="center" wrapText="1"/>
    </xf>
    <xf numFmtId="49" fontId="4" fillId="5" borderId="1" xfId="0" applyNumberFormat="1" applyFont="1" applyFill="1" applyBorder="1" applyAlignment="1">
      <alignment horizontal="center" vertical="center" wrapText="1"/>
    </xf>
    <xf numFmtId="0" fontId="3" fillId="5" borderId="1" xfId="0" applyFont="1" applyFill="1" applyBorder="1" applyAlignment="1">
      <alignment horizontal="center" vertical="center" wrapText="1"/>
    </xf>
    <xf numFmtId="0" fontId="0" fillId="5" borderId="1" xfId="0" applyFill="1" applyBorder="1" applyAlignment="1">
      <alignment horizontal="center" wrapText="1"/>
    </xf>
    <xf numFmtId="0" fontId="0" fillId="5" borderId="1" xfId="0" applyFill="1" applyBorder="1" applyAlignment="1">
      <alignment wrapText="1"/>
    </xf>
    <xf numFmtId="0" fontId="0" fillId="5" borderId="0" xfId="0" applyFill="1"/>
    <xf numFmtId="49" fontId="1" fillId="0" borderId="1" xfId="0" applyNumberFormat="1" applyFont="1" applyFill="1" applyBorder="1" applyAlignment="1">
      <alignment horizontal="center" vertical="center" wrapText="1"/>
    </xf>
    <xf numFmtId="0" fontId="3" fillId="0" borderId="1" xfId="0" applyFont="1" applyFill="1" applyBorder="1" applyAlignment="1">
      <alignment horizontal="center" vertical="center" wrapText="1"/>
    </xf>
    <xf numFmtId="0" fontId="0" fillId="0" borderId="1" xfId="0" applyFill="1" applyBorder="1" applyAlignment="1">
      <alignment wrapText="1"/>
    </xf>
    <xf numFmtId="0" fontId="0" fillId="0" borderId="0" xfId="0" applyFill="1"/>
    <xf numFmtId="0" fontId="3" fillId="0" borderId="1" xfId="0" applyFont="1" applyBorder="1" applyAlignment="1">
      <alignment horizontal="center" vertical="center" wrapText="1"/>
    </xf>
    <xf numFmtId="14" fontId="0" fillId="6" borderId="0" xfId="0" applyNumberFormat="1" applyFill="1" applyBorder="1" applyAlignment="1">
      <alignment horizontal="left"/>
    </xf>
    <xf numFmtId="0" fontId="0" fillId="6" borderId="0" xfId="0" applyFill="1" applyAlignment="1">
      <alignment horizontal="center"/>
    </xf>
    <xf numFmtId="0" fontId="0" fillId="6" borderId="0" xfId="0" applyFill="1" applyAlignment="1">
      <alignment wrapText="1"/>
    </xf>
    <xf numFmtId="14" fontId="0" fillId="7" borderId="0" xfId="0" applyNumberFormat="1" applyFill="1" applyBorder="1" applyAlignment="1">
      <alignment horizontal="left"/>
    </xf>
    <xf numFmtId="1" fontId="1" fillId="2" borderId="1" xfId="0" quotePrefix="1" applyNumberFormat="1" applyFont="1" applyFill="1" applyBorder="1" applyAlignment="1">
      <alignment horizontal="left"/>
    </xf>
    <xf numFmtId="0" fontId="3" fillId="0" borderId="1" xfId="0" applyFont="1" applyBorder="1" applyAlignment="1">
      <alignment horizontal="center" vertical="center" wrapText="1"/>
    </xf>
    <xf numFmtId="0" fontId="0" fillId="0" borderId="0" xfId="0" applyFill="1" applyBorder="1"/>
    <xf numFmtId="0" fontId="3" fillId="0" borderId="1" xfId="0" applyFont="1" applyBorder="1" applyAlignment="1">
      <alignment horizontal="center" vertical="center" wrapText="1"/>
    </xf>
    <xf numFmtId="0" fontId="0" fillId="2" borderId="5" xfId="0" applyFill="1" applyBorder="1" applyAlignment="1">
      <alignment horizontal="center" wrapText="1"/>
    </xf>
    <xf numFmtId="0" fontId="0" fillId="2" borderId="7" xfId="0" applyFill="1" applyBorder="1" applyAlignment="1">
      <alignment horizontal="center" wrapText="1"/>
    </xf>
    <xf numFmtId="0" fontId="0" fillId="2" borderId="6" xfId="0" applyFill="1" applyBorder="1" applyAlignment="1">
      <alignment horizont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2" fillId="2" borderId="8"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1" fillId="2" borderId="5" xfId="0" applyFont="1" applyFill="1" applyBorder="1" applyAlignment="1">
      <alignment horizontal="center" wrapText="1"/>
    </xf>
    <xf numFmtId="0" fontId="1" fillId="2" borderId="7" xfId="0" applyFont="1" applyFill="1" applyBorder="1" applyAlignment="1">
      <alignment horizontal="center" wrapText="1"/>
    </xf>
    <xf numFmtId="0" fontId="1" fillId="2" borderId="6" xfId="0" applyFont="1" applyFill="1" applyBorder="1" applyAlignment="1">
      <alignment horizontal="center" wrapText="1"/>
    </xf>
    <xf numFmtId="49" fontId="4" fillId="2" borderId="0" xfId="0" applyNumberFormat="1" applyFont="1" applyFill="1" applyBorder="1" applyAlignment="1">
      <alignment horizontal="center" vertical="center" wrapText="1"/>
    </xf>
    <xf numFmtId="49" fontId="5" fillId="2" borderId="2" xfId="0" applyNumberFormat="1" applyFont="1" applyFill="1" applyBorder="1" applyAlignment="1">
      <alignment horizontal="center" vertical="center" wrapText="1"/>
    </xf>
    <xf numFmtId="49" fontId="5" fillId="2" borderId="3" xfId="0" applyNumberFormat="1" applyFont="1" applyFill="1" applyBorder="1" applyAlignment="1">
      <alignment horizontal="center" vertical="center" wrapText="1"/>
    </xf>
    <xf numFmtId="49" fontId="5" fillId="2" borderId="4" xfId="0" applyNumberFormat="1" applyFont="1" applyFill="1" applyBorder="1" applyAlignment="1">
      <alignment horizontal="center" vertical="center" wrapText="1"/>
    </xf>
    <xf numFmtId="49" fontId="4" fillId="2" borderId="1" xfId="0" applyNumberFormat="1" applyFont="1" applyFill="1" applyBorder="1" applyAlignment="1">
      <alignment horizontal="center" vertical="center" wrapText="1"/>
    </xf>
    <xf numFmtId="0" fontId="3" fillId="0" borderId="1" xfId="0" applyFont="1" applyFill="1" applyBorder="1" applyAlignment="1">
      <alignment horizontal="center" vertical="center" wrapText="1"/>
    </xf>
    <xf numFmtId="0" fontId="3" fillId="5"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0" fontId="7" fillId="2" borderId="5" xfId="0" applyFont="1" applyFill="1" applyBorder="1" applyAlignment="1">
      <alignment horizontal="center" wrapText="1"/>
    </xf>
    <xf numFmtId="0" fontId="3" fillId="2" borderId="1" xfId="0" applyFont="1" applyFill="1" applyBorder="1" applyAlignment="1">
      <alignment horizontal="center" vertical="center" wrapText="1"/>
    </xf>
    <xf numFmtId="49" fontId="5" fillId="5" borderId="1" xfId="0" applyNumberFormat="1" applyFont="1" applyFill="1" applyBorder="1" applyAlignment="1">
      <alignment horizontal="center" vertical="center" wrapText="1"/>
    </xf>
    <xf numFmtId="0" fontId="1" fillId="2" borderId="5" xfId="0" applyFont="1" applyFill="1" applyBorder="1" applyAlignment="1">
      <alignment horizontal="center"/>
    </xf>
    <xf numFmtId="0" fontId="1" fillId="2" borderId="6" xfId="0" applyFont="1" applyFill="1" applyBorder="1" applyAlignment="1">
      <alignment horizontal="center"/>
    </xf>
    <xf numFmtId="0" fontId="1" fillId="2" borderId="0" xfId="0" applyFont="1" applyFill="1" applyBorder="1" applyAlignment="1">
      <alignment horizontal="center"/>
    </xf>
    <xf numFmtId="0" fontId="1" fillId="2" borderId="13" xfId="0" applyFont="1" applyFill="1" applyBorder="1" applyAlignment="1">
      <alignment horizontal="center"/>
    </xf>
    <xf numFmtId="0" fontId="1" fillId="0" borderId="0" xfId="0" applyFont="1" applyFill="1" applyBorder="1" applyAlignment="1">
      <alignment horizontal="center"/>
    </xf>
    <xf numFmtId="0" fontId="1" fillId="0" borderId="13" xfId="0" applyFont="1" applyFill="1" applyBorder="1" applyAlignment="1">
      <alignment horizontal="center"/>
    </xf>
    <xf numFmtId="0" fontId="1" fillId="4" borderId="5" xfId="0" applyFont="1" applyFill="1" applyBorder="1" applyAlignment="1">
      <alignment horizontal="center" vertical="center"/>
    </xf>
    <xf numFmtId="0" fontId="1" fillId="4" borderId="7" xfId="0" applyFont="1" applyFill="1" applyBorder="1" applyAlignment="1">
      <alignment horizontal="center" vertical="center"/>
    </xf>
    <xf numFmtId="0" fontId="1" fillId="4" borderId="6" xfId="0" applyFont="1" applyFill="1" applyBorder="1" applyAlignment="1">
      <alignment horizontal="center" vertical="center"/>
    </xf>
    <xf numFmtId="0" fontId="1" fillId="2" borderId="14" xfId="0" applyFont="1" applyFill="1" applyBorder="1" applyAlignment="1">
      <alignment horizontal="center"/>
    </xf>
  </cellXfs>
  <cellStyles count="1">
    <cellStyle name="Normal" xfId="0" builtinId="0"/>
  </cellStyles>
  <dxfs count="1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937933</xdr:colOff>
      <xdr:row>126</xdr:row>
      <xdr:rowOff>180975</xdr:rowOff>
    </xdr:from>
    <xdr:to>
      <xdr:col>3</xdr:col>
      <xdr:colOff>529880</xdr:colOff>
      <xdr:row>134</xdr:row>
      <xdr:rowOff>144930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37933" y="20212050"/>
          <a:ext cx="5792722" cy="148795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1066800</xdr:colOff>
          <xdr:row>1</xdr:row>
          <xdr:rowOff>57150</xdr:rowOff>
        </xdr:from>
        <xdr:to>
          <xdr:col>8</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Copy Highlighted Cell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lteigengineers.sharepoint.com/sites/XcelDERSystemImpactStudies/Shared%20Documents/General/DER%20Reviews%20-%20NSP/Completeness%20Review%20Track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ptember 2020"/>
      <sheetName val="October 2020"/>
      <sheetName val="November 2020"/>
      <sheetName val="December 2020"/>
      <sheetName val="January 2021"/>
      <sheetName val="Feruary 2021"/>
      <sheetName val="March 2021"/>
      <sheetName val="April 2021"/>
      <sheetName val="May 2021"/>
      <sheetName val="June 2021"/>
      <sheetName val="July 2021"/>
      <sheetName val="August 2021"/>
      <sheetName val="September 2021"/>
      <sheetName val="October 2021"/>
      <sheetName val="November 2021"/>
      <sheetName val="December 2021"/>
      <sheetName val="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
          <cell r="A3">
            <v>44522</v>
          </cell>
          <cell r="G3" t="str">
            <v>Joe Nogo</v>
          </cell>
          <cell r="H3">
            <v>4653721</v>
          </cell>
        </row>
        <row r="4">
          <cell r="A4">
            <v>44522</v>
          </cell>
          <cell r="G4" t="str">
            <v>Joe Nogo</v>
          </cell>
          <cell r="H4">
            <v>4714713</v>
          </cell>
        </row>
        <row r="5">
          <cell r="A5">
            <v>44522</v>
          </cell>
          <cell r="G5" t="str">
            <v>Joe Nogo</v>
          </cell>
          <cell r="H5">
            <v>4445477</v>
          </cell>
        </row>
        <row r="6">
          <cell r="A6">
            <v>44522</v>
          </cell>
          <cell r="G6" t="str">
            <v>Joe Nogo</v>
          </cell>
          <cell r="H6">
            <v>4596896</v>
          </cell>
        </row>
        <row r="7">
          <cell r="A7">
            <v>44522</v>
          </cell>
          <cell r="G7" t="str">
            <v>Joe Nogo</v>
          </cell>
          <cell r="H7">
            <v>4614825</v>
          </cell>
        </row>
        <row r="8">
          <cell r="A8">
            <v>44522</v>
          </cell>
          <cell r="G8" t="str">
            <v>Joe Nogo</v>
          </cell>
          <cell r="H8">
            <v>4640794</v>
          </cell>
        </row>
        <row r="9">
          <cell r="A9">
            <v>44522</v>
          </cell>
          <cell r="G9" t="str">
            <v>Joe Nogo</v>
          </cell>
          <cell r="H9">
            <v>4441183</v>
          </cell>
        </row>
        <row r="10">
          <cell r="A10">
            <v>44522</v>
          </cell>
          <cell r="G10" t="str">
            <v>Joe Nogo</v>
          </cell>
          <cell r="H10">
            <v>4509396</v>
          </cell>
        </row>
        <row r="11">
          <cell r="A11">
            <v>44522</v>
          </cell>
          <cell r="G11" t="str">
            <v>Joe Nogo</v>
          </cell>
          <cell r="H11">
            <v>4508722</v>
          </cell>
        </row>
        <row r="12">
          <cell r="A12">
            <v>44522</v>
          </cell>
          <cell r="G12" t="str">
            <v>Joe Nogo</v>
          </cell>
          <cell r="H12">
            <v>4668878</v>
          </cell>
        </row>
        <row r="13">
          <cell r="A13">
            <v>44523</v>
          </cell>
          <cell r="G13" t="str">
            <v>Joe Nogo</v>
          </cell>
          <cell r="H13">
            <v>4745542</v>
          </cell>
        </row>
        <row r="14">
          <cell r="A14">
            <v>44523</v>
          </cell>
          <cell r="G14" t="str">
            <v>Joe Nogo</v>
          </cell>
          <cell r="H14">
            <v>4719934</v>
          </cell>
        </row>
        <row r="15">
          <cell r="A15">
            <v>44523</v>
          </cell>
          <cell r="G15" t="str">
            <v>Joe Nogo</v>
          </cell>
          <cell r="H15">
            <v>4699535</v>
          </cell>
        </row>
        <row r="16">
          <cell r="A16">
            <v>44523</v>
          </cell>
          <cell r="G16" t="str">
            <v>Joe Nogo</v>
          </cell>
          <cell r="H16">
            <v>4732765</v>
          </cell>
        </row>
        <row r="17">
          <cell r="A17">
            <v>44523</v>
          </cell>
          <cell r="G17" t="str">
            <v>Joe Nogo</v>
          </cell>
          <cell r="H17">
            <v>4641212</v>
          </cell>
        </row>
        <row r="18">
          <cell r="A18">
            <v>44523</v>
          </cell>
          <cell r="G18" t="str">
            <v>Joe Nogo</v>
          </cell>
          <cell r="H18">
            <v>4651192</v>
          </cell>
        </row>
        <row r="19">
          <cell r="A19">
            <v>44523</v>
          </cell>
          <cell r="G19" t="str">
            <v>Joe Nogo</v>
          </cell>
          <cell r="H19">
            <v>4699804</v>
          </cell>
        </row>
        <row r="20">
          <cell r="A20">
            <v>44523</v>
          </cell>
          <cell r="G20" t="str">
            <v>Joe Nogo</v>
          </cell>
          <cell r="H20">
            <v>4722635</v>
          </cell>
        </row>
        <row r="21">
          <cell r="A21">
            <v>44530</v>
          </cell>
          <cell r="G21" t="str">
            <v>Joe Nogo</v>
          </cell>
          <cell r="H21">
            <v>4509422</v>
          </cell>
        </row>
        <row r="22">
          <cell r="A22">
            <v>44530</v>
          </cell>
          <cell r="G22" t="str">
            <v>Joe Nogo</v>
          </cell>
          <cell r="H22">
            <v>4360273</v>
          </cell>
        </row>
        <row r="23">
          <cell r="A23">
            <v>44530</v>
          </cell>
          <cell r="G23" t="str">
            <v>Joe Nogo</v>
          </cell>
          <cell r="H23">
            <v>4474158</v>
          </cell>
        </row>
        <row r="24">
          <cell r="A24">
            <v>44530</v>
          </cell>
          <cell r="G24" t="str">
            <v>Joe Nogo</v>
          </cell>
          <cell r="H24">
            <v>4657482</v>
          </cell>
        </row>
        <row r="25">
          <cell r="A25">
            <v>44524</v>
          </cell>
          <cell r="G25" t="str">
            <v>Joe Nogo</v>
          </cell>
          <cell r="H25">
            <v>4742718</v>
          </cell>
        </row>
        <row r="26">
          <cell r="A26">
            <v>44524</v>
          </cell>
          <cell r="G26" t="str">
            <v>Joe Nogo</v>
          </cell>
          <cell r="H26">
            <v>4732696</v>
          </cell>
        </row>
        <row r="27">
          <cell r="A27">
            <v>44531</v>
          </cell>
          <cell r="G27" t="str">
            <v>Joe Nogo</v>
          </cell>
          <cell r="H27">
            <v>4710502</v>
          </cell>
        </row>
        <row r="28">
          <cell r="A28">
            <v>44531</v>
          </cell>
          <cell r="G28" t="str">
            <v>Joe Nogo</v>
          </cell>
          <cell r="H28">
            <v>4509569</v>
          </cell>
        </row>
        <row r="29">
          <cell r="A29">
            <v>44531</v>
          </cell>
          <cell r="H29">
            <v>4641150</v>
          </cell>
        </row>
        <row r="30">
          <cell r="A30">
            <v>44531</v>
          </cell>
          <cell r="H30">
            <v>4661741</v>
          </cell>
        </row>
        <row r="31">
          <cell r="A31">
            <v>44526</v>
          </cell>
          <cell r="G31" t="str">
            <v>Joe Nogo</v>
          </cell>
          <cell r="H31">
            <v>4745471</v>
          </cell>
        </row>
        <row r="32">
          <cell r="A32">
            <v>44529</v>
          </cell>
          <cell r="G32" t="str">
            <v>Joe Nogo</v>
          </cell>
          <cell r="H32">
            <v>4712381</v>
          </cell>
        </row>
        <row r="33">
          <cell r="A33">
            <v>44529</v>
          </cell>
          <cell r="G33" t="str">
            <v>Joe Nogo</v>
          </cell>
          <cell r="H33">
            <v>4745530</v>
          </cell>
        </row>
        <row r="34">
          <cell r="A34">
            <v>44529</v>
          </cell>
          <cell r="G34" t="str">
            <v>Joe Nogo</v>
          </cell>
          <cell r="H34">
            <v>4745587</v>
          </cell>
        </row>
        <row r="35">
          <cell r="A35">
            <v>44529</v>
          </cell>
          <cell r="G35" t="str">
            <v>Joe Nogo</v>
          </cell>
          <cell r="H35">
            <v>4746210</v>
          </cell>
        </row>
        <row r="36">
          <cell r="A36">
            <v>44530</v>
          </cell>
          <cell r="G36" t="str">
            <v>Joe Nogo</v>
          </cell>
          <cell r="H36">
            <v>4751268</v>
          </cell>
        </row>
        <row r="37">
          <cell r="A37">
            <v>44531</v>
          </cell>
          <cell r="G37" t="str">
            <v>Joe Nogo</v>
          </cell>
          <cell r="H37">
            <v>4733367</v>
          </cell>
        </row>
        <row r="38">
          <cell r="A38">
            <v>44531</v>
          </cell>
          <cell r="G38" t="str">
            <v>Joe Nogo</v>
          </cell>
          <cell r="H38">
            <v>4715764</v>
          </cell>
        </row>
        <row r="39">
          <cell r="A39">
            <v>44532</v>
          </cell>
          <cell r="G39" t="str">
            <v>Joe Nogo</v>
          </cell>
          <cell r="H39">
            <v>4725818</v>
          </cell>
        </row>
        <row r="40">
          <cell r="A40">
            <v>44532</v>
          </cell>
          <cell r="G40" t="str">
            <v>Joe Nogo</v>
          </cell>
          <cell r="H40">
            <v>4360869</v>
          </cell>
        </row>
        <row r="41">
          <cell r="A41">
            <v>44532</v>
          </cell>
          <cell r="G41" t="str">
            <v>Joe Nogo</v>
          </cell>
          <cell r="H41">
            <v>4759791</v>
          </cell>
        </row>
      </sheetData>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K138"/>
  <sheetViews>
    <sheetView tabSelected="1" zoomScaleNormal="100" workbookViewId="0">
      <selection activeCell="E12" sqref="E12"/>
    </sheetView>
  </sheetViews>
  <sheetFormatPr defaultColWidth="9.140625" defaultRowHeight="15" x14ac:dyDescent="0.25"/>
  <cols>
    <col min="1" max="1" width="14.28515625" customWidth="1"/>
    <col min="2" max="2" width="15.85546875" style="7" customWidth="1"/>
    <col min="3" max="3" width="62.85546875" style="3" customWidth="1"/>
    <col min="4" max="4" width="58.140625" style="3" customWidth="1"/>
    <col min="5" max="5" width="6.85546875" style="3" customWidth="1"/>
    <col min="6" max="6" width="6.5703125" style="3" customWidth="1"/>
    <col min="7" max="7" width="9" style="3" customWidth="1"/>
    <col min="8" max="8" width="49.140625" style="7" customWidth="1"/>
    <col min="9" max="9" width="17.85546875" customWidth="1"/>
    <col min="10" max="10" width="12.42578125" style="3" customWidth="1"/>
    <col min="11" max="11" width="105.42578125" customWidth="1"/>
  </cols>
  <sheetData>
    <row r="1" spans="1:11" ht="30" x14ac:dyDescent="0.25">
      <c r="A1" s="87" t="s">
        <v>10</v>
      </c>
      <c r="B1" s="88"/>
      <c r="C1" s="59"/>
      <c r="D1" s="5" t="s">
        <v>7</v>
      </c>
      <c r="H1" s="44" t="s">
        <v>194</v>
      </c>
    </row>
    <row r="2" spans="1:11" x14ac:dyDescent="0.25">
      <c r="A2" s="87" t="s">
        <v>11</v>
      </c>
      <c r="B2" s="88" t="s">
        <v>11</v>
      </c>
      <c r="C2" s="2" t="str" cm="1">
        <f t="array" ref="C2">IF(C1="","",LOOKUP(2,1/('[1]December 2021'!$H$3:$H$450=C1),'[1]December 2021'!$G$3:$G$450))</f>
        <v/>
      </c>
      <c r="D2" s="6" t="s">
        <v>8</v>
      </c>
    </row>
    <row r="3" spans="1:11" x14ac:dyDescent="0.25">
      <c r="A3" s="87" t="s">
        <v>162</v>
      </c>
      <c r="B3" s="88" t="s">
        <v>0</v>
      </c>
      <c r="C3" s="9" t="str" cm="1">
        <f t="array" ref="C3">IF(C1="","",LOOKUP(2,1/('[1]December 2021'!$H$3:$H$450=C1),'[1]December 2021'!$A$3:$A$450))</f>
        <v/>
      </c>
      <c r="D3" s="55" t="s">
        <v>224</v>
      </c>
      <c r="E3" s="56"/>
      <c r="F3" s="56"/>
      <c r="G3" s="56"/>
      <c r="H3" s="57"/>
    </row>
    <row r="4" spans="1:11" x14ac:dyDescent="0.25">
      <c r="A4" s="73" t="s">
        <v>86</v>
      </c>
      <c r="B4" s="75"/>
      <c r="C4" s="9" t="str">
        <f>IF(C1="","",IF(NOT(COUNTA(E12:E88)),"",IF(COUNTIF(F12:F88,"CA")&gt;0,"CA",IF(NOT(COUNTA(F12:F88)),"Approved","Rejected"))))</f>
        <v/>
      </c>
      <c r="D4" s="58" t="e" cm="1">
        <f t="array" ref="D4">_xlfn.IFS(C4="Approved","This application has been approved."&amp;CHAR(10)&amp;CHAR(10)&amp;"Labels and Witness Test Procedure will need to be provided later in the process. Please refer to the TSM for these requirements.",OR(C4="CA",C4="Conditionally Approved"),"This application has been conditionally approved. Please note and correct the following moving forward: "&amp;CHAR(10)&amp;CHAR(10)&amp;K11&amp;IF(K11&lt;&gt;"",CHAR(10),"")&amp;K12&amp;IF(K12&lt;&gt;"",CHAR(10),"")&amp;K13&amp;IF(K13&lt;&gt;"",CHAR(10),"")&amp;K14&amp;IF(K14&lt;&gt;"",CHAR(10),"")&amp;K16&amp;IF(K16&lt;&gt;"",CHAR(10),"")&amp;K19&amp;IF(K19&lt;&gt;"",CHAR(10),"")&amp;K20&amp;IF(K20&lt;&gt;"",CHAR(10),"")&amp;K22&amp;IF(K22&lt;&gt;"",CHAR(10),"")&amp;K23&amp;IF(K23&lt;&gt;"",CHAR(10),"")&amp;K24&amp;IF(K24&lt;&gt;"",CHAR(10),"")&amp;K25&amp;IF(K25&lt;&gt;"",CHAR(10),"")&amp;K27&amp;IF(K27&lt;&gt;"",CHAR(10),"")&amp;K28&amp;IF(K28&lt;&gt;"",CHAR(10),"")&amp;K29&amp;IF(K29&lt;&gt;"",CHAR(10),"")&amp;K30&amp;IF(K30&lt;&gt;"",CHAR(10),"")&amp;K31&amp;IF(K31&lt;&gt;"",CHAR(10),"")&amp;K32&amp;IF(K32&lt;&gt;"",CHAR(10),"")&amp;K33&amp;IF(K33&lt;&gt;"",CHAR(10),"")&amp;K34&amp;IF(K34&lt;&gt;"",CHAR(10),"")&amp;K35&amp;IF(K35&lt;&gt;"",CHAR(10),"")&amp;K36&amp;IF(K36&lt;&gt;"",CHAR(10),"")&amp;K48&amp;IF(K48&lt;&gt;"",CHAR(10),"")&amp;K49&amp;IF(K49&lt;&gt;"",CHAR(10),"")&amp;K51&amp;IF(K51&lt;&gt;"",CHAR(10),"")&amp;K52&amp;IF(K52&lt;&gt;"",CHAR(10),"")&amp;K53&amp;IF(K53&lt;&gt;"",CHAR(10),"")&amp;K55&amp;IF(K55&lt;&gt;"",CHAR(10),"")&amp;K56&amp;IF(K56&lt;&gt;"",CHAR(10),"")&amp;K57&amp;IF(K57&lt;&gt;"",CHAR(10),"")&amp;K58&amp;IF(K58&lt;&gt;"",CHAR(10),"")&amp;K59&amp;IF(K59&lt;&gt;"",CHAR(10),"")&amp;K60&amp;IF(K60&lt;&gt;"",CHAR(10),"")&amp;K61&amp;IF(K61&lt;&gt;"",CHAR(10),"")&amp;K62&amp;IF(K62&lt;&gt;"",CHAR(10),"")&amp;K63&amp;IF(K63&lt;&gt;"",CHAR(10),"")&amp;IF(K11="",K66&amp;IF(K65&lt;&gt;"",CHAR(10),""),""&amp;CHAR(13)&amp;CHAR(13)&amp;K65&amp;CHAR(10))&amp;K66&amp;IF(K66&lt;&gt;"",CHAR(10),"")&amp;K67&amp;IF(K67&lt;&gt;"",CHAR(10),"")&amp;K70&amp;IF(K70&lt;&gt;"",CHAR(10),"")&amp;K72&amp;IF(K72&lt;&gt;"",CHAR(10),"")&amp;K73&amp;IF(K73&lt;&gt;"",CHAR(10),"")&amp;K74&amp;IF(K74&lt;&gt;"",CHAR(10),"")&amp;K75&amp;IF(K75&lt;&gt;"",CHAR(10),"")&amp;K76&amp;IF(K76&lt;&gt;"",CHAR(10),"")&amp;K77&amp;IF(K77&lt;&gt;"",CHAR(10),"")&amp;K78&amp;IF(K78&lt;&gt;"",CHAR(10),"")&amp;K80&amp;IF(K80&lt;&gt;"",CHAR(10),"")&amp;K81&amp;IF(K81&lt;&gt;"",CHAR(10),"")&amp;K84&amp;IF(K84&lt;&gt;"",CHAR(10),"")&amp;K85&amp;IF(K85&lt;&gt;"",CHAR(10),"")&amp;K87&amp;IF(K87&lt;&gt;"",CHAR(10),"")&amp;K88&amp;IF(K88&lt;&gt;"",CHAR(10),"")&amp;CHAR(10)&amp;CHAR(10)&amp;"Labels and Witness Test Procedure will need to be provided later in the process. Please refer to the TSM for these requirements.",C4="Rejected","This application has been rejected. Please correct the following before resubmitting: "&amp;CHAR(10)&amp;CHAR(10)&amp;K11&amp;IF(K11&lt;&gt;"",CHAR(10),"")&amp;K12&amp;IF(K12&lt;&gt;"",CHAR(10),"")&amp;K13&amp;IF(K13&lt;&gt;"",CHAR(10),"")&amp;K14&amp;IF(K14&lt;&gt;"",CHAR(10),"")&amp;K16&amp;IF(K16&lt;&gt;"",CHAR(10),"")&amp;K19&amp;IF(K19&lt;&gt;"",CHAR(10),"")&amp;K20&amp;IF(K20&lt;&gt;"",CHAR(10),"")&amp;K22&amp;IF(K22&lt;&gt;"",CHAR(10),"")&amp;K23&amp;IF(K23&lt;&gt;"",CHAR(10),"")&amp;K24&amp;IF(K24&lt;&gt;"",CHAR(10),"")&amp;K25&amp;IF(K25&lt;&gt;"",CHAR(10),"")&amp;K27&amp;IF(K27&lt;&gt;"",CHAR(10),"")&amp;K28&amp;IF(K28&lt;&gt;"",CHAR(10),"")&amp;K29&amp;IF(K29&lt;&gt;"",CHAR(10),"")&amp;K30&amp;IF(K30&lt;&gt;"",CHAR(10),"")&amp;K31&amp;IF(K31&lt;&gt;"",CHAR(10),"")&amp;K32&amp;IF(K32&lt;&gt;"",CHAR(10),"")&amp;K33&amp;IF(K33&lt;&gt;"",CHAR(10),"")&amp;K34&amp;IF(K34&lt;&gt;"",CHAR(10),"")&amp;K35&amp;IF(K35&lt;&gt;"",CHAR(10),"")&amp;K36&amp;IF(K36&lt;&gt;"",CHAR(10),"")&amp;K48&amp;IF(K48&lt;&gt;"",CHAR(10),"")&amp;K49&amp;IF(K49&lt;&gt;"",CHAR(10),"")&amp;K51&amp;IF(K51&lt;&gt;"",CHAR(10),"")&amp;K52&amp;IF(K52&lt;&gt;"",CHAR(10),"")&amp;K53&amp;IF(K53&lt;&gt;"",CHAR(10),"")&amp;K55&amp;IF(K55&lt;&gt;"",CHAR(10),"")&amp;K56&amp;IF(K56&lt;&gt;"",CHAR(10),"")&amp;K57&amp;IF(K57&lt;&gt;"",CHAR(10),"")&amp;K58&amp;IF(K58&lt;&gt;"",CHAR(10),"")&amp;K59&amp;IF(K59&lt;&gt;"",CHAR(10),"")&amp;K60&amp;IF(K60&lt;&gt;"",CHAR(10),"")&amp;K61&amp;IF(K61&lt;&gt;"",CHAR(10),"")&amp;K62&amp;IF(K62&lt;&gt;"",CHAR(10),"")&amp;K63&amp;IF(K63&lt;&gt;"",CHAR(10),"")&amp;IF(K11="",K66&amp;IF(K65&lt;&gt;"",CHAR(10),""),""&amp;CHAR(13)&amp;CHAR(13)&amp;K65&amp;CHAR(10))&amp;K66&amp;IF(K66&lt;&gt;"",CHAR(10),"")&amp;K67&amp;IF(K67&lt;&gt;"",CHAR(10),"")&amp;K70&amp;IF(K70&lt;&gt;"",CHAR(10),"")&amp;K72&amp;IF(K72&lt;&gt;"",CHAR(10),"")&amp;K73&amp;IF(K73&lt;&gt;"",CHAR(10),"")&amp;K74&amp;IF(K74&lt;&gt;"",CHAR(10),"")&amp;K75&amp;IF(K75&lt;&gt;"",CHAR(10),"")&amp;K76&amp;IF(K76&lt;&gt;"",CHAR(10),"")&amp;K77&amp;IF(K77&lt;&gt;"",CHAR(10),"")&amp;K78&amp;IF(K78&lt;&gt;"",CHAR(10),"")&amp;K80&amp;IF(K80&lt;&gt;"",CHAR(10),"")&amp;K81&amp;IF(K81&lt;&gt;"",CHAR(10),"")&amp;K84&amp;IF(K84&lt;&gt;"",CHAR(10),"")&amp;K85&amp;IF(K85&lt;&gt;"",CHAR(10),"")&amp;K87&amp;IF(K87&lt;&gt;"",CHAR(10),"")&amp;K88&amp;IF(K88&lt;&gt;"",CHAR(10),""))</f>
        <v>#N/A</v>
      </c>
    </row>
    <row r="6" spans="1:11" ht="15.75" thickBot="1" x14ac:dyDescent="0.3">
      <c r="A6" s="89" t="s">
        <v>9</v>
      </c>
      <c r="B6" s="89"/>
      <c r="C6" s="89"/>
      <c r="D6" s="89"/>
      <c r="E6" s="89"/>
      <c r="F6" s="89"/>
      <c r="G6" s="89"/>
      <c r="H6" s="89"/>
      <c r="I6" s="89"/>
      <c r="J6" s="90"/>
    </row>
    <row r="7" spans="1:11" ht="15.75" thickBot="1" x14ac:dyDescent="0.3">
      <c r="A7" s="91"/>
      <c r="B7" s="91"/>
      <c r="C7" s="91"/>
      <c r="D7" s="91"/>
      <c r="E7" s="91"/>
      <c r="F7" s="91"/>
      <c r="G7" s="91"/>
      <c r="H7" s="92"/>
      <c r="I7" s="10" t="s">
        <v>1</v>
      </c>
      <c r="J7" s="11"/>
    </row>
    <row r="8" spans="1:11" s="1" customFormat="1" ht="15.75" thickBot="1" x14ac:dyDescent="0.3">
      <c r="A8" s="13"/>
      <c r="B8" s="7"/>
      <c r="C8" s="13"/>
      <c r="D8" s="13"/>
      <c r="E8" s="93" t="s">
        <v>13</v>
      </c>
      <c r="F8" s="94"/>
      <c r="G8" s="95"/>
      <c r="H8" s="14"/>
      <c r="I8" s="10" t="s">
        <v>2</v>
      </c>
      <c r="J8" s="12"/>
    </row>
    <row r="9" spans="1:11" ht="15.75" thickBot="1" x14ac:dyDescent="0.3">
      <c r="A9" s="17" t="s">
        <v>12</v>
      </c>
      <c r="B9" s="96" t="s">
        <v>6</v>
      </c>
      <c r="C9" s="96"/>
      <c r="D9" s="17" t="s">
        <v>138</v>
      </c>
      <c r="E9" s="18" t="s">
        <v>3</v>
      </c>
      <c r="F9" s="18" t="s">
        <v>4</v>
      </c>
      <c r="G9" s="18" t="s">
        <v>5</v>
      </c>
      <c r="H9" s="18" t="s">
        <v>143</v>
      </c>
      <c r="I9" s="20" t="s">
        <v>136</v>
      </c>
      <c r="J9" s="20" t="s">
        <v>137</v>
      </c>
    </row>
    <row r="10" spans="1:11" ht="16.5" thickBot="1" x14ac:dyDescent="0.3">
      <c r="A10" s="77" t="s">
        <v>36</v>
      </c>
      <c r="B10" s="78"/>
      <c r="C10" s="78"/>
      <c r="D10" s="78"/>
      <c r="E10" s="78"/>
      <c r="F10" s="78"/>
      <c r="G10" s="78"/>
      <c r="H10" s="78"/>
      <c r="I10" s="78"/>
      <c r="J10" s="79"/>
    </row>
    <row r="11" spans="1:11" x14ac:dyDescent="0.25">
      <c r="A11" s="76" t="s">
        <v>35</v>
      </c>
      <c r="B11" s="76"/>
      <c r="C11" s="68"/>
      <c r="D11" s="69"/>
      <c r="E11" s="69"/>
      <c r="F11" s="69"/>
      <c r="G11" s="69"/>
      <c r="H11" s="69"/>
      <c r="I11" s="69"/>
      <c r="J11" s="70"/>
      <c r="K11" t="str">
        <f>IF(OR(COUNTIF(F12:F63,"x")&gt;0,COUNTIF(F12:F63,"CA")&gt;0),"One-Line:","")</f>
        <v/>
      </c>
    </row>
    <row r="12" spans="1:11" ht="24.75" customHeight="1" x14ac:dyDescent="0.25">
      <c r="A12" s="24">
        <v>3.1</v>
      </c>
      <c r="B12" s="62" t="s">
        <v>225</v>
      </c>
      <c r="C12" s="62"/>
      <c r="D12" s="21" t="s">
        <v>161</v>
      </c>
      <c r="E12" s="22" t="s">
        <v>189</v>
      </c>
      <c r="F12" s="22"/>
      <c r="G12" s="22"/>
      <c r="H12" s="4" t="str">
        <f>IF(F12&lt;&gt;"","Name on oneline does not match the customer name listed on Salesforce. Please update so they match.","")</f>
        <v/>
      </c>
      <c r="I12" s="31"/>
      <c r="J12" s="31"/>
      <c r="K12" t="str">
        <f>IF(F12&lt;&gt;"",A12&amp;" - "&amp;B12&amp;H12,"")</f>
        <v/>
      </c>
    </row>
    <row r="13" spans="1:11" x14ac:dyDescent="0.25">
      <c r="A13" s="25">
        <v>3.2</v>
      </c>
      <c r="B13" s="62" t="s">
        <v>226</v>
      </c>
      <c r="C13" s="62"/>
      <c r="D13" s="21" t="s">
        <v>144</v>
      </c>
      <c r="E13" s="22" t="s">
        <v>189</v>
      </c>
      <c r="F13" s="22"/>
      <c r="G13" s="22"/>
      <c r="H13" s="4" t="str">
        <f>IF(F13&lt;&gt;"","Missing. Failure to include case numbers in future applications may lead to rejection.","")</f>
        <v/>
      </c>
      <c r="I13" s="32"/>
      <c r="J13" s="31"/>
      <c r="K13" t="str">
        <f t="shared" ref="K13:K63" si="0">IF(F13&lt;&gt;"",A13&amp;" - "&amp;B13&amp;H13,"")</f>
        <v/>
      </c>
    </row>
    <row r="14" spans="1:11" ht="25.5" customHeight="1" x14ac:dyDescent="0.25">
      <c r="A14" s="24">
        <v>3.3</v>
      </c>
      <c r="B14" s="62" t="s">
        <v>227</v>
      </c>
      <c r="C14" s="62"/>
      <c r="D14" s="21" t="s">
        <v>183</v>
      </c>
      <c r="E14" s="22" t="s">
        <v>189</v>
      </c>
      <c r="F14" s="22"/>
      <c r="G14" s="22"/>
      <c r="H14" s="8"/>
      <c r="I14" s="32"/>
      <c r="J14" s="31"/>
      <c r="K14" t="str">
        <f t="shared" si="0"/>
        <v/>
      </c>
    </row>
    <row r="15" spans="1:11" hidden="1" x14ac:dyDescent="0.25">
      <c r="A15" s="24">
        <v>3.4</v>
      </c>
      <c r="B15" s="62" t="s">
        <v>87</v>
      </c>
      <c r="C15" s="62"/>
      <c r="D15" s="21"/>
      <c r="E15" s="22"/>
      <c r="F15" s="22"/>
      <c r="G15" s="22"/>
      <c r="H15" s="8"/>
      <c r="I15" s="32"/>
      <c r="J15" s="31"/>
      <c r="K15" t="str">
        <f t="shared" si="0"/>
        <v/>
      </c>
    </row>
    <row r="16" spans="1:11" ht="28.5" customHeight="1" x14ac:dyDescent="0.25">
      <c r="A16" s="24" t="s">
        <v>195</v>
      </c>
      <c r="B16" s="62" t="s">
        <v>228</v>
      </c>
      <c r="C16" s="62"/>
      <c r="D16" s="21" t="s">
        <v>174</v>
      </c>
      <c r="E16" s="22"/>
      <c r="F16" s="22"/>
      <c r="G16" s="22" t="s">
        <v>189</v>
      </c>
      <c r="H16" s="8"/>
      <c r="I16" s="32"/>
      <c r="J16" s="31"/>
      <c r="K16" t="str">
        <f t="shared" si="0"/>
        <v/>
      </c>
    </row>
    <row r="17" spans="1:11" ht="24.75" customHeight="1" x14ac:dyDescent="0.25">
      <c r="A17" s="76" t="s">
        <v>34</v>
      </c>
      <c r="B17" s="76"/>
      <c r="C17" s="71"/>
      <c r="D17" s="71"/>
      <c r="E17" s="71"/>
      <c r="F17" s="71"/>
      <c r="G17" s="71"/>
      <c r="H17" s="71"/>
      <c r="I17" s="71"/>
      <c r="J17" s="72"/>
      <c r="K17" t="str">
        <f t="shared" si="0"/>
        <v/>
      </c>
    </row>
    <row r="18" spans="1:11" ht="23.25" customHeight="1" x14ac:dyDescent="0.25">
      <c r="A18" s="26"/>
      <c r="B18" s="62" t="s">
        <v>229</v>
      </c>
      <c r="C18" s="62"/>
      <c r="D18" s="35"/>
      <c r="E18" s="36"/>
      <c r="F18" s="36"/>
      <c r="G18" s="36"/>
      <c r="H18" s="36"/>
      <c r="I18" s="36"/>
      <c r="J18" s="37"/>
      <c r="K18" t="str">
        <f t="shared" si="0"/>
        <v/>
      </c>
    </row>
    <row r="19" spans="1:11" ht="24.75" customHeight="1" x14ac:dyDescent="0.25">
      <c r="A19" s="28" t="s">
        <v>196</v>
      </c>
      <c r="B19" s="62" t="s">
        <v>230</v>
      </c>
      <c r="C19" s="62"/>
      <c r="D19" s="21" t="s">
        <v>145</v>
      </c>
      <c r="E19" s="22" t="s">
        <v>189</v>
      </c>
      <c r="F19" s="22"/>
      <c r="G19" s="22"/>
      <c r="H19" s="8"/>
      <c r="I19" s="32"/>
      <c r="J19" s="31"/>
      <c r="K19" t="str">
        <f t="shared" si="0"/>
        <v/>
      </c>
    </row>
    <row r="20" spans="1:11" ht="15" customHeight="1" x14ac:dyDescent="0.25">
      <c r="A20" s="28" t="s">
        <v>197</v>
      </c>
      <c r="B20" s="62" t="s">
        <v>231</v>
      </c>
      <c r="C20" s="62"/>
      <c r="D20" s="21"/>
      <c r="E20" s="22" t="s">
        <v>189</v>
      </c>
      <c r="F20" s="22"/>
      <c r="G20" s="22"/>
      <c r="H20" s="8"/>
      <c r="I20" s="32"/>
      <c r="J20" s="31"/>
      <c r="K20" t="str">
        <f t="shared" si="0"/>
        <v/>
      </c>
    </row>
    <row r="21" spans="1:11" s="49" customFormat="1" ht="23.25" hidden="1" customHeight="1" x14ac:dyDescent="0.25">
      <c r="A21" s="45" t="s">
        <v>14</v>
      </c>
      <c r="B21" s="82" t="s">
        <v>126</v>
      </c>
      <c r="C21" s="82"/>
      <c r="D21" s="46" t="s">
        <v>184</v>
      </c>
      <c r="E21" s="47"/>
      <c r="F21" s="47"/>
      <c r="G21" s="47"/>
      <c r="H21" s="48"/>
      <c r="I21" s="48"/>
      <c r="J21" s="47"/>
      <c r="K21" t="str">
        <f t="shared" si="0"/>
        <v/>
      </c>
    </row>
    <row r="22" spans="1:11" s="53" customFormat="1" ht="24.75" customHeight="1" x14ac:dyDescent="0.25">
      <c r="A22" s="50" t="s">
        <v>198</v>
      </c>
      <c r="B22" s="81" t="s">
        <v>232</v>
      </c>
      <c r="C22" s="81"/>
      <c r="D22" s="51" t="s">
        <v>190</v>
      </c>
      <c r="E22" s="22" t="s">
        <v>189</v>
      </c>
      <c r="F22" s="22"/>
      <c r="G22" s="22"/>
      <c r="H22" s="52"/>
      <c r="I22" s="32"/>
      <c r="J22" s="32"/>
      <c r="K22" t="str">
        <f t="shared" si="0"/>
        <v/>
      </c>
    </row>
    <row r="23" spans="1:11" ht="20.25" customHeight="1" x14ac:dyDescent="0.25">
      <c r="A23" s="27" t="s">
        <v>199</v>
      </c>
      <c r="B23" s="62" t="s">
        <v>233</v>
      </c>
      <c r="C23" s="62"/>
      <c r="D23" s="21" t="s">
        <v>163</v>
      </c>
      <c r="E23" s="22" t="s">
        <v>189</v>
      </c>
      <c r="F23" s="22"/>
      <c r="G23" s="22"/>
      <c r="H23" s="8"/>
      <c r="I23" s="32"/>
      <c r="J23" s="31"/>
      <c r="K23" t="str">
        <f t="shared" si="0"/>
        <v/>
      </c>
    </row>
    <row r="24" spans="1:11" ht="24" x14ac:dyDescent="0.25">
      <c r="A24" s="27" t="s">
        <v>201</v>
      </c>
      <c r="B24" s="62" t="s">
        <v>234</v>
      </c>
      <c r="C24" s="62"/>
      <c r="D24" s="21" t="s">
        <v>146</v>
      </c>
      <c r="E24" s="22" t="s">
        <v>189</v>
      </c>
      <c r="F24" s="22"/>
      <c r="G24" s="22"/>
      <c r="H24" s="8"/>
      <c r="I24" s="32"/>
      <c r="J24" s="31"/>
      <c r="K24" t="str">
        <f t="shared" si="0"/>
        <v/>
      </c>
    </row>
    <row r="25" spans="1:11" ht="26.25" customHeight="1" x14ac:dyDescent="0.25">
      <c r="A25" s="27" t="s">
        <v>202</v>
      </c>
      <c r="B25" s="62" t="s">
        <v>235</v>
      </c>
      <c r="C25" s="62"/>
      <c r="D25" s="3" t="s">
        <v>164</v>
      </c>
      <c r="E25" s="22" t="s">
        <v>189</v>
      </c>
      <c r="F25" s="22"/>
      <c r="G25" s="22"/>
      <c r="H25" s="8"/>
      <c r="I25" s="32"/>
      <c r="J25" s="31"/>
      <c r="K25" t="str">
        <f t="shared" si="0"/>
        <v/>
      </c>
    </row>
    <row r="26" spans="1:11" hidden="1" x14ac:dyDescent="0.25">
      <c r="A26" s="29" t="s">
        <v>15</v>
      </c>
      <c r="B26" s="62" t="s">
        <v>132</v>
      </c>
      <c r="C26" s="62"/>
      <c r="D26" s="21" t="s">
        <v>147</v>
      </c>
      <c r="E26" s="23"/>
      <c r="F26" s="23"/>
      <c r="G26" s="23"/>
      <c r="H26" s="19"/>
      <c r="I26" s="33"/>
      <c r="J26" s="34"/>
      <c r="K26" t="str">
        <f t="shared" si="0"/>
        <v/>
      </c>
    </row>
    <row r="27" spans="1:11" s="53" customFormat="1" ht="15" customHeight="1" x14ac:dyDescent="0.25">
      <c r="A27" s="30" t="s">
        <v>200</v>
      </c>
      <c r="B27" s="66" t="s">
        <v>236</v>
      </c>
      <c r="C27" s="67"/>
      <c r="D27" s="43"/>
      <c r="E27" s="22" t="s">
        <v>189</v>
      </c>
      <c r="F27" s="22"/>
      <c r="G27" s="22"/>
      <c r="H27" s="52"/>
      <c r="I27" s="32"/>
      <c r="J27" s="32"/>
      <c r="K27" t="str">
        <f t="shared" si="0"/>
        <v/>
      </c>
    </row>
    <row r="28" spans="1:11" ht="15" customHeight="1" x14ac:dyDescent="0.25">
      <c r="A28" s="30" t="s">
        <v>15</v>
      </c>
      <c r="B28" s="66" t="s">
        <v>237</v>
      </c>
      <c r="C28" s="67"/>
      <c r="D28" s="43"/>
      <c r="E28" s="22" t="s">
        <v>189</v>
      </c>
      <c r="F28" s="22"/>
      <c r="G28" s="22"/>
      <c r="H28" s="8"/>
      <c r="I28" s="32"/>
      <c r="J28" s="31"/>
      <c r="K28" t="str">
        <f t="shared" si="0"/>
        <v/>
      </c>
    </row>
    <row r="29" spans="1:11" ht="15" customHeight="1" x14ac:dyDescent="0.25">
      <c r="A29" s="30" t="s">
        <v>16</v>
      </c>
      <c r="B29" s="66" t="s">
        <v>238</v>
      </c>
      <c r="C29" s="67"/>
      <c r="D29" s="43"/>
      <c r="E29" s="22" t="s">
        <v>189</v>
      </c>
      <c r="F29" s="22"/>
      <c r="G29" s="22"/>
      <c r="H29" s="8"/>
      <c r="I29" s="32"/>
      <c r="J29" s="31"/>
      <c r="K29" t="str">
        <f t="shared" si="0"/>
        <v/>
      </c>
    </row>
    <row r="30" spans="1:11" ht="24" x14ac:dyDescent="0.25">
      <c r="A30" s="27" t="s">
        <v>278</v>
      </c>
      <c r="B30" s="66" t="s">
        <v>276</v>
      </c>
      <c r="C30" s="67"/>
      <c r="D30" s="60" t="s">
        <v>277</v>
      </c>
      <c r="E30" s="22" t="s">
        <v>189</v>
      </c>
      <c r="F30" s="22"/>
      <c r="G30" s="22"/>
      <c r="H30" s="8"/>
      <c r="I30" s="32"/>
      <c r="J30" s="31"/>
      <c r="K30" s="61" t="str">
        <f t="shared" si="0"/>
        <v/>
      </c>
    </row>
    <row r="31" spans="1:11" ht="15" customHeight="1" x14ac:dyDescent="0.25">
      <c r="A31" s="30" t="s">
        <v>17</v>
      </c>
      <c r="B31" s="62" t="s">
        <v>239</v>
      </c>
      <c r="C31" s="62"/>
      <c r="D31" s="43"/>
      <c r="E31" s="22" t="s">
        <v>189</v>
      </c>
      <c r="F31" s="22"/>
      <c r="G31" s="22"/>
      <c r="H31" s="8"/>
      <c r="I31" s="32"/>
      <c r="J31" s="31"/>
      <c r="K31" t="str">
        <f t="shared" si="0"/>
        <v/>
      </c>
    </row>
    <row r="32" spans="1:11" ht="15" customHeight="1" x14ac:dyDescent="0.25">
      <c r="A32" s="30" t="s">
        <v>18</v>
      </c>
      <c r="B32" s="62" t="s">
        <v>240</v>
      </c>
      <c r="C32" s="62"/>
      <c r="D32" s="43" t="s">
        <v>203</v>
      </c>
      <c r="E32" s="22" t="s">
        <v>189</v>
      </c>
      <c r="F32" s="22"/>
      <c r="G32" s="22"/>
      <c r="H32" s="8"/>
      <c r="I32" s="32"/>
      <c r="J32" s="31"/>
      <c r="K32" t="str">
        <f t="shared" si="0"/>
        <v/>
      </c>
    </row>
    <row r="33" spans="1:11" ht="24.75" customHeight="1" x14ac:dyDescent="0.25">
      <c r="A33" s="30" t="s">
        <v>19</v>
      </c>
      <c r="B33" s="62" t="s">
        <v>241</v>
      </c>
      <c r="C33" s="62"/>
      <c r="D33" s="21" t="s">
        <v>148</v>
      </c>
      <c r="E33" s="22"/>
      <c r="F33" s="22"/>
      <c r="G33" s="22" t="s">
        <v>189</v>
      </c>
      <c r="H33" s="8"/>
      <c r="I33" s="32"/>
      <c r="J33" s="31"/>
      <c r="K33" t="str">
        <f t="shared" si="0"/>
        <v/>
      </c>
    </row>
    <row r="34" spans="1:11" ht="60" customHeight="1" x14ac:dyDescent="0.25">
      <c r="A34" s="30" t="s">
        <v>20</v>
      </c>
      <c r="B34" s="62" t="s">
        <v>242</v>
      </c>
      <c r="C34" s="62"/>
      <c r="D34" s="21" t="s">
        <v>188</v>
      </c>
      <c r="E34" s="22"/>
      <c r="F34" s="22"/>
      <c r="G34" s="22" t="s">
        <v>189</v>
      </c>
      <c r="H34" s="8"/>
      <c r="I34" s="32"/>
      <c r="J34" s="31"/>
      <c r="K34" t="str">
        <f t="shared" si="0"/>
        <v/>
      </c>
    </row>
    <row r="35" spans="1:11" ht="24" x14ac:dyDescent="0.25">
      <c r="A35" s="30" t="s">
        <v>21</v>
      </c>
      <c r="B35" s="62" t="s">
        <v>243</v>
      </c>
      <c r="C35" s="62"/>
      <c r="D35" s="21" t="s">
        <v>150</v>
      </c>
      <c r="E35" s="22"/>
      <c r="F35" s="22"/>
      <c r="G35" s="22" t="s">
        <v>189</v>
      </c>
      <c r="H35" s="8"/>
      <c r="I35" s="32"/>
      <c r="J35" s="31"/>
      <c r="K35" t="str">
        <f t="shared" si="0"/>
        <v/>
      </c>
    </row>
    <row r="36" spans="1:11" ht="48.75" customHeight="1" x14ac:dyDescent="0.25">
      <c r="A36" s="30" t="s">
        <v>22</v>
      </c>
      <c r="B36" s="62" t="s">
        <v>191</v>
      </c>
      <c r="C36" s="62"/>
      <c r="D36" s="42" t="s">
        <v>192</v>
      </c>
      <c r="E36" s="22"/>
      <c r="F36" s="22"/>
      <c r="G36" s="22" t="s">
        <v>189</v>
      </c>
      <c r="H36" s="8"/>
      <c r="I36" s="32"/>
      <c r="J36" s="31"/>
      <c r="K36" t="str">
        <f t="shared" si="0"/>
        <v/>
      </c>
    </row>
    <row r="37" spans="1:11" hidden="1" x14ac:dyDescent="0.25">
      <c r="A37" s="80" t="s">
        <v>33</v>
      </c>
      <c r="B37" s="80"/>
      <c r="C37" s="63"/>
      <c r="D37" s="64"/>
      <c r="E37" s="64"/>
      <c r="F37" s="64"/>
      <c r="G37" s="64"/>
      <c r="H37" s="64"/>
      <c r="I37" s="64"/>
      <c r="J37" s="65"/>
      <c r="K37" t="str">
        <f t="shared" si="0"/>
        <v/>
      </c>
    </row>
    <row r="38" spans="1:11" ht="24" hidden="1" x14ac:dyDescent="0.25">
      <c r="A38" s="27" t="s">
        <v>22</v>
      </c>
      <c r="B38" s="62" t="s">
        <v>88</v>
      </c>
      <c r="C38" s="62"/>
      <c r="D38" s="21" t="s">
        <v>181</v>
      </c>
      <c r="E38" s="22"/>
      <c r="F38" s="22"/>
      <c r="G38" s="22"/>
      <c r="H38" s="8"/>
      <c r="I38" s="32"/>
      <c r="J38" s="31"/>
      <c r="K38" t="str">
        <f t="shared" si="0"/>
        <v/>
      </c>
    </row>
    <row r="39" spans="1:11" hidden="1" x14ac:dyDescent="0.25">
      <c r="A39" s="28" t="s">
        <v>23</v>
      </c>
      <c r="B39" s="62" t="s">
        <v>127</v>
      </c>
      <c r="C39" s="62"/>
      <c r="D39" s="21"/>
      <c r="E39" s="22"/>
      <c r="F39" s="22"/>
      <c r="G39" s="22"/>
      <c r="H39" s="8"/>
      <c r="I39" s="32"/>
      <c r="J39" s="31"/>
      <c r="K39" t="str">
        <f t="shared" si="0"/>
        <v/>
      </c>
    </row>
    <row r="40" spans="1:11" hidden="1" x14ac:dyDescent="0.25">
      <c r="A40" s="28" t="s">
        <v>24</v>
      </c>
      <c r="B40" s="62" t="s">
        <v>128</v>
      </c>
      <c r="C40" s="62"/>
      <c r="D40" s="21"/>
      <c r="E40" s="22"/>
      <c r="F40" s="22"/>
      <c r="G40" s="22"/>
      <c r="H40" s="8"/>
      <c r="I40" s="32"/>
      <c r="J40" s="31"/>
      <c r="K40" t="str">
        <f t="shared" si="0"/>
        <v/>
      </c>
    </row>
    <row r="41" spans="1:11" hidden="1" x14ac:dyDescent="0.25">
      <c r="A41" s="28" t="s">
        <v>25</v>
      </c>
      <c r="B41" s="62" t="s">
        <v>129</v>
      </c>
      <c r="C41" s="62"/>
      <c r="D41" s="21" t="s">
        <v>151</v>
      </c>
      <c r="E41" s="22"/>
      <c r="F41" s="22"/>
      <c r="G41" s="22"/>
      <c r="H41" s="8"/>
      <c r="I41" s="32"/>
      <c r="J41" s="31"/>
      <c r="K41" t="str">
        <f t="shared" si="0"/>
        <v/>
      </c>
    </row>
    <row r="42" spans="1:11" hidden="1" x14ac:dyDescent="0.25">
      <c r="A42" s="28" t="s">
        <v>26</v>
      </c>
      <c r="B42" s="62" t="s">
        <v>135</v>
      </c>
      <c r="C42" s="62"/>
      <c r="D42" s="21"/>
      <c r="E42" s="22"/>
      <c r="F42" s="22"/>
      <c r="G42" s="22"/>
      <c r="H42" s="8"/>
      <c r="I42" s="32"/>
      <c r="J42" s="31"/>
      <c r="K42" t="str">
        <f t="shared" si="0"/>
        <v/>
      </c>
    </row>
    <row r="43" spans="1:11" ht="26.25" hidden="1" customHeight="1" x14ac:dyDescent="0.25">
      <c r="A43" s="28" t="s">
        <v>27</v>
      </c>
      <c r="B43" s="62" t="s">
        <v>130</v>
      </c>
      <c r="C43" s="62"/>
      <c r="D43" s="21" t="s">
        <v>176</v>
      </c>
      <c r="E43" s="22"/>
      <c r="F43" s="22"/>
      <c r="G43" s="22"/>
      <c r="H43" s="8"/>
      <c r="I43" s="32"/>
      <c r="J43" s="31"/>
      <c r="K43" t="str">
        <f t="shared" si="0"/>
        <v/>
      </c>
    </row>
    <row r="44" spans="1:11" ht="31.5" hidden="1" customHeight="1" x14ac:dyDescent="0.25">
      <c r="A44" s="28" t="s">
        <v>28</v>
      </c>
      <c r="B44" s="62" t="s">
        <v>131</v>
      </c>
      <c r="C44" s="62"/>
      <c r="D44" s="21" t="s">
        <v>152</v>
      </c>
      <c r="E44" s="22"/>
      <c r="F44" s="22"/>
      <c r="G44" s="22"/>
      <c r="H44" s="8"/>
      <c r="I44" s="32"/>
      <c r="J44" s="31"/>
      <c r="K44" t="str">
        <f t="shared" si="0"/>
        <v/>
      </c>
    </row>
    <row r="45" spans="1:11" ht="24" hidden="1" customHeight="1" x14ac:dyDescent="0.25">
      <c r="A45" s="28" t="s">
        <v>89</v>
      </c>
      <c r="B45" s="62" t="s">
        <v>142</v>
      </c>
      <c r="C45" s="62"/>
      <c r="D45" s="21" t="s">
        <v>175</v>
      </c>
      <c r="E45" s="22"/>
      <c r="F45" s="22"/>
      <c r="G45" s="22"/>
      <c r="H45" s="8"/>
      <c r="I45" s="32"/>
      <c r="J45" s="31"/>
      <c r="K45" t="str">
        <f t="shared" si="0"/>
        <v/>
      </c>
    </row>
    <row r="46" spans="1:11" ht="24.75" hidden="1" customHeight="1" x14ac:dyDescent="0.25">
      <c r="A46" s="27" t="s">
        <v>29</v>
      </c>
      <c r="B46" s="62" t="s">
        <v>133</v>
      </c>
      <c r="C46" s="62"/>
      <c r="D46" s="21" t="s">
        <v>149</v>
      </c>
      <c r="E46" s="22"/>
      <c r="F46" s="22"/>
      <c r="G46" s="22" t="s">
        <v>189</v>
      </c>
      <c r="H46" s="8"/>
      <c r="I46" s="32"/>
      <c r="J46" s="31"/>
      <c r="K46" t="str">
        <f t="shared" si="0"/>
        <v/>
      </c>
    </row>
    <row r="47" spans="1:11" x14ac:dyDescent="0.25">
      <c r="A47" s="80" t="s">
        <v>32</v>
      </c>
      <c r="B47" s="80"/>
      <c r="C47" s="63"/>
      <c r="D47" s="64"/>
      <c r="E47" s="64"/>
      <c r="F47" s="64"/>
      <c r="G47" s="64"/>
      <c r="H47" s="64"/>
      <c r="I47" s="64"/>
      <c r="J47" s="65"/>
      <c r="K47" t="str">
        <f t="shared" si="0"/>
        <v/>
      </c>
    </row>
    <row r="48" spans="1:11" ht="24" x14ac:dyDescent="0.25">
      <c r="A48" s="27" t="s">
        <v>204</v>
      </c>
      <c r="B48" s="62" t="s">
        <v>245</v>
      </c>
      <c r="C48" s="62"/>
      <c r="D48" s="43" t="s">
        <v>165</v>
      </c>
      <c r="E48" s="22" t="s">
        <v>189</v>
      </c>
      <c r="F48" s="22"/>
      <c r="G48" s="22"/>
      <c r="H48" s="8"/>
      <c r="I48" s="32"/>
      <c r="J48" s="31"/>
      <c r="K48" t="str">
        <f t="shared" si="0"/>
        <v/>
      </c>
    </row>
    <row r="49" spans="1:11" ht="29.25" customHeight="1" x14ac:dyDescent="0.25">
      <c r="A49" s="28" t="s">
        <v>205</v>
      </c>
      <c r="B49" s="62" t="s">
        <v>246</v>
      </c>
      <c r="C49" s="62"/>
      <c r="D49" s="43"/>
      <c r="E49" s="22"/>
      <c r="F49" s="22"/>
      <c r="G49" s="22" t="s">
        <v>189</v>
      </c>
      <c r="H49" s="8"/>
      <c r="I49" s="32"/>
      <c r="J49" s="31"/>
      <c r="K49" t="str">
        <f t="shared" si="0"/>
        <v/>
      </c>
    </row>
    <row r="50" spans="1:11" ht="36.75" hidden="1" customHeight="1" x14ac:dyDescent="0.25">
      <c r="A50" s="45" t="s">
        <v>206</v>
      </c>
      <c r="B50" s="82" t="s">
        <v>134</v>
      </c>
      <c r="C50" s="82"/>
      <c r="D50" s="46"/>
      <c r="E50" s="22"/>
      <c r="F50" s="22"/>
      <c r="G50" s="22"/>
      <c r="H50" s="8"/>
      <c r="I50" s="32"/>
      <c r="J50" s="31"/>
      <c r="K50" t="str">
        <f t="shared" si="0"/>
        <v/>
      </c>
    </row>
    <row r="51" spans="1:11" ht="25.5" customHeight="1" x14ac:dyDescent="0.25">
      <c r="A51" s="28" t="s">
        <v>206</v>
      </c>
      <c r="B51" s="62" t="s">
        <v>247</v>
      </c>
      <c r="C51" s="62"/>
      <c r="D51" s="43"/>
      <c r="E51" s="22"/>
      <c r="F51" s="22"/>
      <c r="G51" s="22" t="s">
        <v>189</v>
      </c>
      <c r="H51" s="8"/>
      <c r="I51" s="32"/>
      <c r="J51" s="31"/>
      <c r="K51" t="str">
        <f t="shared" si="0"/>
        <v/>
      </c>
    </row>
    <row r="52" spans="1:11" ht="25.5" customHeight="1" x14ac:dyDescent="0.25">
      <c r="A52" s="28" t="s">
        <v>207</v>
      </c>
      <c r="B52" s="62" t="s">
        <v>248</v>
      </c>
      <c r="C52" s="62"/>
      <c r="D52" s="43"/>
      <c r="E52" s="22" t="s">
        <v>189</v>
      </c>
      <c r="F52" s="22"/>
      <c r="G52" s="22"/>
      <c r="H52" s="8"/>
      <c r="I52" s="32"/>
      <c r="J52" s="31"/>
      <c r="K52" t="str">
        <f t="shared" si="0"/>
        <v/>
      </c>
    </row>
    <row r="53" spans="1:11" ht="51" customHeight="1" x14ac:dyDescent="0.25">
      <c r="A53" s="28" t="s">
        <v>208</v>
      </c>
      <c r="B53" s="62" t="s">
        <v>249</v>
      </c>
      <c r="C53" s="62"/>
      <c r="D53" s="43"/>
      <c r="E53" s="22"/>
      <c r="F53" s="22"/>
      <c r="G53" s="22" t="s">
        <v>189</v>
      </c>
      <c r="H53" s="8"/>
      <c r="I53" s="32"/>
      <c r="J53" s="31"/>
      <c r="K53" t="str">
        <f t="shared" si="0"/>
        <v/>
      </c>
    </row>
    <row r="54" spans="1:11" x14ac:dyDescent="0.25">
      <c r="A54" s="80" t="s">
        <v>30</v>
      </c>
      <c r="B54" s="80"/>
      <c r="C54" s="73" t="s">
        <v>31</v>
      </c>
      <c r="D54" s="74"/>
      <c r="E54" s="74"/>
      <c r="F54" s="74"/>
      <c r="G54" s="74"/>
      <c r="H54" s="74"/>
      <c r="I54" s="74"/>
      <c r="J54" s="75"/>
      <c r="K54" t="str">
        <f t="shared" si="0"/>
        <v/>
      </c>
    </row>
    <row r="55" spans="1:11" ht="36" x14ac:dyDescent="0.25">
      <c r="A55" s="27" t="s">
        <v>209</v>
      </c>
      <c r="B55" s="62" t="s">
        <v>244</v>
      </c>
      <c r="C55" s="62"/>
      <c r="D55" s="21" t="s">
        <v>273</v>
      </c>
      <c r="E55" s="22"/>
      <c r="F55" s="22"/>
      <c r="G55" s="22" t="s">
        <v>189</v>
      </c>
      <c r="H55" s="8"/>
      <c r="I55" s="32"/>
      <c r="J55" s="31"/>
      <c r="K55" t="str">
        <f t="shared" si="0"/>
        <v/>
      </c>
    </row>
    <row r="56" spans="1:11" ht="15.75" customHeight="1" x14ac:dyDescent="0.25">
      <c r="A56" s="28" t="s">
        <v>210</v>
      </c>
      <c r="B56" s="62" t="s">
        <v>250</v>
      </c>
      <c r="C56" s="62"/>
      <c r="D56" s="38"/>
      <c r="E56" s="39"/>
      <c r="F56" s="39"/>
      <c r="G56" s="39"/>
      <c r="H56" s="40"/>
      <c r="I56" s="40"/>
      <c r="J56" s="39"/>
      <c r="K56" t="str">
        <f t="shared" si="0"/>
        <v/>
      </c>
    </row>
    <row r="57" spans="1:11" ht="15.75" customHeight="1" x14ac:dyDescent="0.25">
      <c r="A57" s="28" t="s">
        <v>211</v>
      </c>
      <c r="B57" s="62" t="s">
        <v>251</v>
      </c>
      <c r="C57" s="62"/>
      <c r="D57" s="21"/>
      <c r="E57" s="22"/>
      <c r="F57" s="22"/>
      <c r="G57" s="22" t="s">
        <v>189</v>
      </c>
      <c r="H57" s="8"/>
      <c r="I57" s="32"/>
      <c r="J57" s="31"/>
      <c r="K57" t="str">
        <f t="shared" si="0"/>
        <v/>
      </c>
    </row>
    <row r="58" spans="1:11" x14ac:dyDescent="0.25">
      <c r="A58" s="28" t="s">
        <v>212</v>
      </c>
      <c r="B58" s="62" t="s">
        <v>252</v>
      </c>
      <c r="C58" s="62"/>
      <c r="D58" s="21"/>
      <c r="E58" s="22"/>
      <c r="F58" s="22"/>
      <c r="G58" s="22" t="s">
        <v>189</v>
      </c>
      <c r="H58" s="8"/>
      <c r="I58" s="32"/>
      <c r="J58" s="31"/>
      <c r="K58" t="str">
        <f t="shared" si="0"/>
        <v/>
      </c>
    </row>
    <row r="59" spans="1:11" ht="15.75" customHeight="1" x14ac:dyDescent="0.25">
      <c r="A59" s="28" t="s">
        <v>213</v>
      </c>
      <c r="B59" s="62" t="s">
        <v>253</v>
      </c>
      <c r="C59" s="62"/>
      <c r="D59" s="21"/>
      <c r="E59" s="22"/>
      <c r="F59" s="22"/>
      <c r="G59" s="22" t="s">
        <v>189</v>
      </c>
      <c r="H59" s="8"/>
      <c r="I59" s="32"/>
      <c r="J59" s="31"/>
      <c r="K59" t="str">
        <f t="shared" si="0"/>
        <v/>
      </c>
    </row>
    <row r="60" spans="1:11" ht="15.75" customHeight="1" x14ac:dyDescent="0.25">
      <c r="A60" s="28" t="s">
        <v>214</v>
      </c>
      <c r="B60" s="62" t="s">
        <v>254</v>
      </c>
      <c r="C60" s="62"/>
      <c r="D60" s="21"/>
      <c r="E60" s="22"/>
      <c r="F60" s="22"/>
      <c r="G60" s="22" t="s">
        <v>189</v>
      </c>
      <c r="H60" s="8"/>
      <c r="I60" s="32"/>
      <c r="J60" s="31"/>
      <c r="K60" t="str">
        <f t="shared" si="0"/>
        <v/>
      </c>
    </row>
    <row r="61" spans="1:11" ht="24" x14ac:dyDescent="0.25">
      <c r="A61" s="28" t="s">
        <v>215</v>
      </c>
      <c r="B61" s="62" t="s">
        <v>255</v>
      </c>
      <c r="C61" s="62"/>
      <c r="D61" s="21" t="s">
        <v>274</v>
      </c>
      <c r="E61" s="22"/>
      <c r="F61" s="22"/>
      <c r="G61" s="22" t="s">
        <v>189</v>
      </c>
      <c r="H61" s="8"/>
      <c r="I61" s="32"/>
      <c r="J61" s="31"/>
      <c r="K61" t="str">
        <f t="shared" si="0"/>
        <v/>
      </c>
    </row>
    <row r="62" spans="1:11" ht="15.75" customHeight="1" x14ac:dyDescent="0.25">
      <c r="A62" s="28" t="s">
        <v>216</v>
      </c>
      <c r="B62" s="62" t="s">
        <v>256</v>
      </c>
      <c r="C62" s="62"/>
      <c r="D62" s="21" t="s">
        <v>177</v>
      </c>
      <c r="E62" s="22"/>
      <c r="F62" s="22"/>
      <c r="G62" s="22" t="s">
        <v>189</v>
      </c>
      <c r="H62" s="8"/>
      <c r="I62" s="32"/>
      <c r="J62" s="31"/>
      <c r="K62" t="str">
        <f t="shared" si="0"/>
        <v/>
      </c>
    </row>
    <row r="63" spans="1:11" ht="15.75" customHeight="1" x14ac:dyDescent="0.25">
      <c r="A63" s="28" t="s">
        <v>217</v>
      </c>
      <c r="B63" s="62" t="s">
        <v>257</v>
      </c>
      <c r="C63" s="62"/>
      <c r="D63" s="21"/>
      <c r="E63" s="22"/>
      <c r="F63" s="22"/>
      <c r="G63" s="22" t="s">
        <v>189</v>
      </c>
      <c r="H63" s="8"/>
      <c r="I63" s="32"/>
      <c r="J63" s="31"/>
      <c r="K63" t="str">
        <f t="shared" si="0"/>
        <v/>
      </c>
    </row>
    <row r="64" spans="1:11" ht="15.75" x14ac:dyDescent="0.25">
      <c r="A64" s="83" t="s">
        <v>37</v>
      </c>
      <c r="B64" s="83"/>
      <c r="C64" s="83"/>
      <c r="D64" s="83"/>
      <c r="E64" s="83"/>
      <c r="F64" s="83"/>
      <c r="G64" s="83"/>
      <c r="H64" s="83"/>
      <c r="I64" s="83"/>
      <c r="J64" s="83"/>
    </row>
    <row r="65" spans="1:11" x14ac:dyDescent="0.25">
      <c r="A65" s="80" t="s">
        <v>35</v>
      </c>
      <c r="B65" s="80"/>
      <c r="C65" s="63"/>
      <c r="D65" s="64"/>
      <c r="E65" s="64"/>
      <c r="F65" s="64"/>
      <c r="G65" s="64"/>
      <c r="H65" s="64"/>
      <c r="I65" s="64"/>
      <c r="J65" s="65"/>
      <c r="K65" t="str">
        <f>IF(NOT(COUNTA(F66:F89)),"","Site Plan:")</f>
        <v/>
      </c>
    </row>
    <row r="66" spans="1:11" ht="27.75" customHeight="1" x14ac:dyDescent="0.25">
      <c r="A66" s="27" t="s">
        <v>38</v>
      </c>
      <c r="B66" s="62" t="s">
        <v>258</v>
      </c>
      <c r="C66" s="62"/>
      <c r="D66" s="43" t="s">
        <v>144</v>
      </c>
      <c r="E66" s="22" t="s">
        <v>189</v>
      </c>
      <c r="F66" s="22"/>
      <c r="G66" s="22"/>
      <c r="H66" s="8" t="str">
        <f>IF(F66&lt;&gt;"","Name on site plan does not match the customer name listed on Salesforce. Please update so they match.","")</f>
        <v/>
      </c>
      <c r="I66" s="32"/>
      <c r="J66" s="31"/>
      <c r="K66" t="str">
        <f>IF(F66&lt;&gt;"",A66&amp;" - "&amp;B66&amp;H66,"")</f>
        <v/>
      </c>
    </row>
    <row r="67" spans="1:11" ht="15.75" customHeight="1" x14ac:dyDescent="0.25">
      <c r="A67" s="27" t="s">
        <v>39</v>
      </c>
      <c r="B67" s="62" t="s">
        <v>259</v>
      </c>
      <c r="C67" s="62"/>
      <c r="D67" s="43" t="s">
        <v>144</v>
      </c>
      <c r="E67" s="22" t="s">
        <v>189</v>
      </c>
      <c r="F67" s="22"/>
      <c r="G67" s="22"/>
      <c r="H67" s="8"/>
      <c r="I67" s="32"/>
      <c r="J67" s="31"/>
      <c r="K67" t="str">
        <f t="shared" ref="K67:K96" si="1">IF(F67&lt;&gt;"",A67&amp;" - "&amp;B67&amp;H67,"")</f>
        <v/>
      </c>
    </row>
    <row r="68" spans="1:11" ht="15.75" hidden="1" customHeight="1" x14ac:dyDescent="0.25">
      <c r="A68" s="45" t="s">
        <v>40</v>
      </c>
      <c r="B68" s="82" t="s">
        <v>120</v>
      </c>
      <c r="C68" s="82"/>
      <c r="D68" s="46" t="s">
        <v>144</v>
      </c>
      <c r="E68" s="22"/>
      <c r="F68" s="22"/>
      <c r="G68" s="22"/>
      <c r="H68" s="8"/>
      <c r="I68" s="32"/>
      <c r="J68" s="31"/>
      <c r="K68" t="str">
        <f t="shared" si="1"/>
        <v/>
      </c>
    </row>
    <row r="69" spans="1:11" ht="15.75" hidden="1" customHeight="1" x14ac:dyDescent="0.25">
      <c r="A69" s="45" t="s">
        <v>41</v>
      </c>
      <c r="B69" s="82" t="s">
        <v>121</v>
      </c>
      <c r="C69" s="82"/>
      <c r="D69" s="46" t="s">
        <v>144</v>
      </c>
      <c r="E69" s="22"/>
      <c r="F69" s="22"/>
      <c r="G69" s="22"/>
      <c r="H69" s="8"/>
      <c r="I69" s="32"/>
      <c r="J69" s="31"/>
      <c r="K69" t="str">
        <f t="shared" si="1"/>
        <v/>
      </c>
    </row>
    <row r="70" spans="1:11" ht="37.5" customHeight="1" x14ac:dyDescent="0.25">
      <c r="A70" s="28" t="s">
        <v>42</v>
      </c>
      <c r="B70" s="62" t="s">
        <v>260</v>
      </c>
      <c r="C70" s="62"/>
      <c r="D70" s="43" t="s">
        <v>144</v>
      </c>
      <c r="E70" s="22"/>
      <c r="F70" s="22"/>
      <c r="G70" s="22" t="s">
        <v>189</v>
      </c>
      <c r="H70" s="8"/>
      <c r="I70" s="32"/>
      <c r="J70" s="31"/>
      <c r="K70" t="str">
        <f t="shared" si="1"/>
        <v/>
      </c>
    </row>
    <row r="71" spans="1:11" ht="30" hidden="1" customHeight="1" x14ac:dyDescent="0.25">
      <c r="A71" s="27" t="s">
        <v>43</v>
      </c>
      <c r="B71" s="62" t="s">
        <v>124</v>
      </c>
      <c r="C71" s="62"/>
      <c r="D71" s="43" t="s">
        <v>153</v>
      </c>
      <c r="E71" s="22"/>
      <c r="F71" s="22"/>
      <c r="G71" s="22"/>
      <c r="H71" s="8"/>
      <c r="I71" s="32"/>
      <c r="J71" s="31"/>
      <c r="K71" t="str">
        <f t="shared" si="1"/>
        <v/>
      </c>
    </row>
    <row r="72" spans="1:11" ht="15.75" customHeight="1" x14ac:dyDescent="0.25">
      <c r="A72" s="27" t="s">
        <v>44</v>
      </c>
      <c r="B72" s="62" t="s">
        <v>261</v>
      </c>
      <c r="C72" s="62"/>
      <c r="D72" s="43" t="s">
        <v>144</v>
      </c>
      <c r="E72" s="22" t="s">
        <v>189</v>
      </c>
      <c r="F72" s="22"/>
      <c r="G72" s="22"/>
      <c r="H72" s="8" t="str">
        <f>IF(F72&lt;&gt;"","Missing, please include. Failure to include case numbers in future applications may lead to rejection.","")</f>
        <v/>
      </c>
      <c r="I72" s="32"/>
      <c r="J72" s="31"/>
      <c r="K72" t="str">
        <f t="shared" si="1"/>
        <v/>
      </c>
    </row>
    <row r="73" spans="1:11" ht="15.75" customHeight="1" x14ac:dyDescent="0.25">
      <c r="A73" s="27" t="s">
        <v>45</v>
      </c>
      <c r="B73" s="62" t="s">
        <v>262</v>
      </c>
      <c r="C73" s="62"/>
      <c r="E73" s="22" t="s">
        <v>189</v>
      </c>
      <c r="F73" s="22"/>
      <c r="G73" s="22"/>
      <c r="I73" s="32"/>
      <c r="J73" s="31"/>
      <c r="K73" t="str">
        <f t="shared" si="1"/>
        <v/>
      </c>
    </row>
    <row r="74" spans="1:11" ht="26.25" customHeight="1" x14ac:dyDescent="0.25">
      <c r="A74" s="28" t="s">
        <v>218</v>
      </c>
      <c r="B74" s="62" t="s">
        <v>263</v>
      </c>
      <c r="C74" s="62"/>
      <c r="D74" s="43" t="s">
        <v>166</v>
      </c>
      <c r="E74" s="22" t="s">
        <v>189</v>
      </c>
      <c r="F74" s="22"/>
      <c r="G74" s="22"/>
      <c r="H74" s="8" t="str">
        <f>IF(F74&lt;&gt;"","Missing, please include with name, distance, and direction to nearest cross street if one is not shown.","")</f>
        <v/>
      </c>
      <c r="I74" s="32"/>
      <c r="J74" s="31"/>
      <c r="K74" t="str">
        <f t="shared" si="1"/>
        <v/>
      </c>
    </row>
    <row r="75" spans="1:11" ht="15.75" customHeight="1" x14ac:dyDescent="0.25">
      <c r="A75" s="27" t="s">
        <v>46</v>
      </c>
      <c r="B75" s="62" t="s">
        <v>264</v>
      </c>
      <c r="C75" s="62"/>
      <c r="D75" s="43"/>
      <c r="E75" s="22" t="s">
        <v>189</v>
      </c>
      <c r="F75" s="22"/>
      <c r="G75" s="22"/>
      <c r="H75" s="8" t="str">
        <f>IF(F75&lt;&gt;"","Missing, please include.","")</f>
        <v/>
      </c>
      <c r="I75" s="32"/>
      <c r="J75" s="31"/>
      <c r="K75" t="str">
        <f t="shared" si="1"/>
        <v/>
      </c>
    </row>
    <row r="76" spans="1:11" ht="37.5" customHeight="1" x14ac:dyDescent="0.25">
      <c r="A76" s="27"/>
      <c r="B76" s="62" t="s">
        <v>265</v>
      </c>
      <c r="C76" s="62"/>
      <c r="D76" s="21" t="s">
        <v>154</v>
      </c>
      <c r="E76" s="22"/>
      <c r="F76" s="22"/>
      <c r="G76" s="22" t="s">
        <v>189</v>
      </c>
      <c r="H76" s="8"/>
      <c r="I76" s="32"/>
      <c r="J76" s="31"/>
      <c r="K76" t="str">
        <f t="shared" si="1"/>
        <v/>
      </c>
    </row>
    <row r="77" spans="1:11" ht="15.75" customHeight="1" x14ac:dyDescent="0.25">
      <c r="A77" s="28"/>
      <c r="B77" s="62" t="s">
        <v>266</v>
      </c>
      <c r="C77" s="62"/>
      <c r="D77" s="21" t="s">
        <v>178</v>
      </c>
      <c r="E77" s="22"/>
      <c r="F77" s="22"/>
      <c r="G77" s="22" t="s">
        <v>189</v>
      </c>
      <c r="H77" s="8"/>
      <c r="I77" s="32"/>
      <c r="J77" s="31"/>
      <c r="K77" t="str">
        <f t="shared" si="1"/>
        <v/>
      </c>
    </row>
    <row r="78" spans="1:11" ht="15.75" customHeight="1" x14ac:dyDescent="0.25">
      <c r="A78" s="28"/>
      <c r="B78" s="62" t="s">
        <v>267</v>
      </c>
      <c r="C78" s="62"/>
      <c r="D78" s="21"/>
      <c r="E78" s="22"/>
      <c r="F78" s="22"/>
      <c r="G78" s="22" t="s">
        <v>189</v>
      </c>
      <c r="H78" s="8"/>
      <c r="I78" s="32"/>
      <c r="J78" s="31"/>
      <c r="K78" t="str">
        <f t="shared" si="1"/>
        <v/>
      </c>
    </row>
    <row r="79" spans="1:11" ht="21.75" customHeight="1" x14ac:dyDescent="0.25">
      <c r="A79" s="80" t="s">
        <v>34</v>
      </c>
      <c r="B79" s="80"/>
      <c r="C79" s="63"/>
      <c r="D79" s="64"/>
      <c r="E79" s="64"/>
      <c r="F79" s="64"/>
      <c r="G79" s="64"/>
      <c r="H79" s="64"/>
      <c r="I79" s="64"/>
      <c r="J79" s="65"/>
      <c r="K79" t="str">
        <f t="shared" si="1"/>
        <v/>
      </c>
    </row>
    <row r="80" spans="1:11" ht="22.5" customHeight="1" x14ac:dyDescent="0.25">
      <c r="A80" s="27" t="s">
        <v>47</v>
      </c>
      <c r="B80" s="62" t="s">
        <v>268</v>
      </c>
      <c r="C80" s="62"/>
      <c r="D80" s="21" t="s">
        <v>167</v>
      </c>
      <c r="E80" s="22" t="s">
        <v>189</v>
      </c>
      <c r="F80" s="22"/>
      <c r="G80" s="22"/>
      <c r="H80" s="8"/>
      <c r="I80" s="32"/>
      <c r="J80" s="31"/>
      <c r="K80" t="str">
        <f t="shared" si="1"/>
        <v/>
      </c>
    </row>
    <row r="81" spans="1:11" ht="27.75" customHeight="1" x14ac:dyDescent="0.25">
      <c r="A81" s="28" t="s">
        <v>48</v>
      </c>
      <c r="B81" s="62" t="s">
        <v>269</v>
      </c>
      <c r="C81" s="62"/>
      <c r="D81" s="21" t="s">
        <v>168</v>
      </c>
      <c r="E81" s="22" t="s">
        <v>189</v>
      </c>
      <c r="F81" s="22"/>
      <c r="G81" s="22"/>
      <c r="H81" s="8"/>
      <c r="I81" s="32"/>
      <c r="J81" s="31"/>
      <c r="K81" t="str">
        <f t="shared" si="1"/>
        <v/>
      </c>
    </row>
    <row r="82" spans="1:11" ht="27.75" hidden="1" customHeight="1" x14ac:dyDescent="0.25">
      <c r="A82" s="41" t="s">
        <v>51</v>
      </c>
      <c r="B82" s="85" t="s">
        <v>122</v>
      </c>
      <c r="C82" s="85"/>
      <c r="D82" s="38" t="s">
        <v>169</v>
      </c>
      <c r="E82" s="39"/>
      <c r="F82" s="39"/>
      <c r="G82" s="39"/>
      <c r="H82" s="40" t="s">
        <v>187</v>
      </c>
      <c r="I82" s="40"/>
      <c r="J82" s="39"/>
      <c r="K82" t="str">
        <f t="shared" si="1"/>
        <v/>
      </c>
    </row>
    <row r="83" spans="1:11" ht="36" hidden="1" customHeight="1" x14ac:dyDescent="0.25">
      <c r="A83" s="28" t="s">
        <v>52</v>
      </c>
      <c r="B83" s="62" t="s">
        <v>123</v>
      </c>
      <c r="C83" s="62"/>
      <c r="D83" s="21" t="s">
        <v>179</v>
      </c>
      <c r="E83" s="22"/>
      <c r="F83" s="22"/>
      <c r="G83" s="22"/>
      <c r="H83" s="8"/>
      <c r="I83" s="32"/>
      <c r="J83" s="31"/>
      <c r="K83" t="str">
        <f t="shared" si="1"/>
        <v/>
      </c>
    </row>
    <row r="84" spans="1:11" ht="27.75" customHeight="1" x14ac:dyDescent="0.25">
      <c r="A84" s="27" t="s">
        <v>49</v>
      </c>
      <c r="B84" s="62" t="s">
        <v>270</v>
      </c>
      <c r="C84" s="62"/>
      <c r="D84" s="21" t="s">
        <v>185</v>
      </c>
      <c r="E84" s="22" t="s">
        <v>189</v>
      </c>
      <c r="F84" s="22"/>
      <c r="G84" s="22"/>
      <c r="H84" s="8"/>
      <c r="I84" s="32"/>
      <c r="J84" s="31"/>
      <c r="K84" t="str">
        <f t="shared" si="1"/>
        <v/>
      </c>
    </row>
    <row r="85" spans="1:11" ht="34.5" customHeight="1" x14ac:dyDescent="0.25">
      <c r="A85" s="28" t="s">
        <v>50</v>
      </c>
      <c r="B85" s="62" t="s">
        <v>275</v>
      </c>
      <c r="C85" s="62"/>
      <c r="D85" s="21" t="s">
        <v>180</v>
      </c>
      <c r="E85" s="22"/>
      <c r="F85" s="22"/>
      <c r="G85" s="22" t="s">
        <v>189</v>
      </c>
      <c r="H85" s="8"/>
      <c r="I85" s="32"/>
      <c r="J85" s="31"/>
      <c r="K85" t="str">
        <f t="shared" si="1"/>
        <v/>
      </c>
    </row>
    <row r="86" spans="1:11" ht="15.75" hidden="1" customHeight="1" x14ac:dyDescent="0.25">
      <c r="A86" s="27" t="s">
        <v>53</v>
      </c>
      <c r="B86" s="62" t="s">
        <v>125</v>
      </c>
      <c r="C86" s="62"/>
      <c r="D86" s="21"/>
      <c r="E86" s="22"/>
      <c r="F86" s="22"/>
      <c r="G86" s="22"/>
      <c r="H86" s="8"/>
      <c r="I86" s="32"/>
      <c r="J86" s="31"/>
      <c r="K86" t="str">
        <f t="shared" si="1"/>
        <v/>
      </c>
    </row>
    <row r="87" spans="1:11" ht="24" customHeight="1" x14ac:dyDescent="0.25">
      <c r="A87" s="27" t="s">
        <v>53</v>
      </c>
      <c r="B87" s="62" t="s">
        <v>271</v>
      </c>
      <c r="C87" s="62"/>
      <c r="D87" s="21"/>
      <c r="E87" s="22" t="s">
        <v>189</v>
      </c>
      <c r="F87" s="22"/>
      <c r="G87" s="22"/>
      <c r="H87" s="8" t="str">
        <f>IF(F87&lt;&gt;"","Please either note all position, distance, and clearance concerns or include a note stating there are none.","")</f>
        <v/>
      </c>
      <c r="I87" s="32"/>
      <c r="J87" s="31"/>
      <c r="K87" t="str">
        <f t="shared" si="1"/>
        <v/>
      </c>
    </row>
    <row r="88" spans="1:11" ht="36" customHeight="1" x14ac:dyDescent="0.25">
      <c r="A88" s="27" t="s">
        <v>54</v>
      </c>
      <c r="B88" s="62" t="s">
        <v>272</v>
      </c>
      <c r="C88" s="62"/>
      <c r="D88" s="21" t="s">
        <v>155</v>
      </c>
      <c r="E88" s="22"/>
      <c r="F88" s="22"/>
      <c r="G88" s="22" t="s">
        <v>189</v>
      </c>
      <c r="H88" s="8"/>
      <c r="I88" s="32"/>
      <c r="J88" s="31"/>
      <c r="K88" t="str">
        <f t="shared" si="1"/>
        <v/>
      </c>
    </row>
    <row r="89" spans="1:11" ht="15.75" hidden="1" x14ac:dyDescent="0.25">
      <c r="A89" s="83" t="s">
        <v>55</v>
      </c>
      <c r="B89" s="83"/>
      <c r="C89" s="83"/>
      <c r="D89" s="83"/>
      <c r="E89" s="83"/>
      <c r="F89" s="83"/>
      <c r="G89" s="83"/>
      <c r="H89" s="83"/>
      <c r="I89" s="83"/>
      <c r="J89" s="83"/>
      <c r="K89" t="str">
        <f t="shared" si="1"/>
        <v/>
      </c>
    </row>
    <row r="90" spans="1:11" ht="15.75" hidden="1" customHeight="1" x14ac:dyDescent="0.25">
      <c r="A90" s="27" t="s">
        <v>56</v>
      </c>
      <c r="B90" s="62" t="s">
        <v>115</v>
      </c>
      <c r="C90" s="62"/>
      <c r="D90" s="21"/>
      <c r="E90" s="22"/>
      <c r="F90" s="22"/>
      <c r="G90" s="22"/>
      <c r="H90" s="8"/>
      <c r="I90" s="32"/>
      <c r="J90" s="31"/>
      <c r="K90" t="str">
        <f t="shared" si="1"/>
        <v/>
      </c>
    </row>
    <row r="91" spans="1:11" ht="15.75" hidden="1" customHeight="1" x14ac:dyDescent="0.25">
      <c r="A91" s="27" t="s">
        <v>57</v>
      </c>
      <c r="B91" s="62" t="s">
        <v>116</v>
      </c>
      <c r="C91" s="62"/>
      <c r="D91" s="21"/>
      <c r="E91" s="22"/>
      <c r="F91" s="22"/>
      <c r="G91" s="22"/>
      <c r="H91" s="8"/>
      <c r="I91" s="32"/>
      <c r="J91" s="31"/>
      <c r="K91" t="str">
        <f t="shared" si="1"/>
        <v/>
      </c>
    </row>
    <row r="92" spans="1:11" ht="34.5" hidden="1" customHeight="1" x14ac:dyDescent="0.25">
      <c r="A92" s="27" t="s">
        <v>58</v>
      </c>
      <c r="B92" s="62" t="s">
        <v>117</v>
      </c>
      <c r="C92" s="62"/>
      <c r="D92" s="21" t="s">
        <v>170</v>
      </c>
      <c r="E92" s="22"/>
      <c r="F92" s="22"/>
      <c r="G92" s="22"/>
      <c r="H92" s="8"/>
      <c r="I92" s="32"/>
      <c r="J92" s="31"/>
      <c r="K92" t="str">
        <f t="shared" si="1"/>
        <v/>
      </c>
    </row>
    <row r="93" spans="1:11" ht="27" hidden="1" customHeight="1" x14ac:dyDescent="0.25">
      <c r="A93" s="28" t="s">
        <v>59</v>
      </c>
      <c r="B93" s="62" t="s">
        <v>113</v>
      </c>
      <c r="C93" s="62"/>
      <c r="D93" s="21"/>
      <c r="E93" s="22"/>
      <c r="F93" s="22"/>
      <c r="G93" s="22"/>
      <c r="H93" s="8"/>
      <c r="I93" s="32"/>
      <c r="J93" s="31"/>
      <c r="K93" t="str">
        <f t="shared" si="1"/>
        <v/>
      </c>
    </row>
    <row r="94" spans="1:11" ht="15.75" hidden="1" customHeight="1" x14ac:dyDescent="0.25">
      <c r="A94" s="27" t="s">
        <v>60</v>
      </c>
      <c r="B94" s="62" t="s">
        <v>118</v>
      </c>
      <c r="C94" s="62"/>
      <c r="D94" s="21" t="s">
        <v>171</v>
      </c>
      <c r="E94" s="22"/>
      <c r="F94" s="22"/>
      <c r="G94" s="22"/>
      <c r="H94" s="8"/>
      <c r="I94" s="32"/>
      <c r="J94" s="31"/>
      <c r="K94" t="str">
        <f t="shared" si="1"/>
        <v/>
      </c>
    </row>
    <row r="95" spans="1:11" ht="48.75" hidden="1" customHeight="1" x14ac:dyDescent="0.25">
      <c r="A95" s="28" t="s">
        <v>61</v>
      </c>
      <c r="B95" s="62" t="s">
        <v>114</v>
      </c>
      <c r="C95" s="62"/>
      <c r="D95" s="21"/>
      <c r="E95" s="22"/>
      <c r="F95" s="22"/>
      <c r="G95" s="22"/>
      <c r="H95" s="8"/>
      <c r="I95" s="32"/>
      <c r="J95" s="31"/>
      <c r="K95" t="str">
        <f t="shared" si="1"/>
        <v/>
      </c>
    </row>
    <row r="96" spans="1:11" ht="29.25" hidden="1" customHeight="1" x14ac:dyDescent="0.25">
      <c r="A96" s="27" t="s">
        <v>62</v>
      </c>
      <c r="B96" s="62" t="s">
        <v>119</v>
      </c>
      <c r="C96" s="62"/>
      <c r="D96" s="21"/>
      <c r="E96" s="22"/>
      <c r="F96" s="22"/>
      <c r="G96" s="22"/>
      <c r="H96" s="8"/>
      <c r="I96" s="32"/>
      <c r="J96" s="31"/>
      <c r="K96" t="str">
        <f t="shared" si="1"/>
        <v/>
      </c>
    </row>
    <row r="97" spans="1:10" ht="15.75" x14ac:dyDescent="0.25">
      <c r="A97" s="83" t="s">
        <v>219</v>
      </c>
      <c r="B97" s="83"/>
      <c r="C97" s="83"/>
      <c r="D97" s="83"/>
      <c r="E97" s="83"/>
      <c r="F97" s="83"/>
      <c r="G97" s="83"/>
      <c r="H97" s="83"/>
      <c r="I97" s="83"/>
      <c r="J97" s="83"/>
    </row>
    <row r="98" spans="1:10" hidden="1" x14ac:dyDescent="0.25">
      <c r="A98" s="80" t="s">
        <v>35</v>
      </c>
      <c r="B98" s="80"/>
      <c r="C98" s="84" t="s">
        <v>182</v>
      </c>
      <c r="D98" s="64"/>
      <c r="E98" s="64"/>
      <c r="F98" s="64"/>
      <c r="G98" s="64"/>
      <c r="H98" s="64"/>
      <c r="I98" s="64"/>
      <c r="J98" s="65"/>
    </row>
    <row r="99" spans="1:10" hidden="1" x14ac:dyDescent="0.25">
      <c r="A99" s="27" t="s">
        <v>63</v>
      </c>
      <c r="B99" s="62" t="s">
        <v>102</v>
      </c>
      <c r="C99" s="62"/>
      <c r="D99" s="21" t="s">
        <v>144</v>
      </c>
      <c r="E99" s="22"/>
      <c r="F99" s="22"/>
      <c r="G99" s="22"/>
      <c r="H99" s="8"/>
      <c r="I99" s="32"/>
      <c r="J99" s="31"/>
    </row>
    <row r="100" spans="1:10" hidden="1" x14ac:dyDescent="0.25">
      <c r="A100" s="27" t="s">
        <v>64</v>
      </c>
      <c r="B100" s="62" t="s">
        <v>103</v>
      </c>
      <c r="C100" s="62"/>
      <c r="D100" s="21" t="s">
        <v>144</v>
      </c>
      <c r="E100" s="22"/>
      <c r="F100" s="22"/>
      <c r="G100" s="22"/>
      <c r="H100" s="8"/>
      <c r="I100" s="32"/>
      <c r="J100" s="31"/>
    </row>
    <row r="101" spans="1:10" hidden="1" x14ac:dyDescent="0.25">
      <c r="A101" s="28" t="s">
        <v>65</v>
      </c>
      <c r="B101" s="62" t="s">
        <v>92</v>
      </c>
      <c r="C101" s="62"/>
      <c r="D101" s="21" t="s">
        <v>144</v>
      </c>
      <c r="E101" s="22"/>
      <c r="F101" s="22"/>
      <c r="G101" s="22"/>
      <c r="H101" s="8"/>
      <c r="I101" s="32"/>
      <c r="J101" s="31"/>
    </row>
    <row r="102" spans="1:10" hidden="1" x14ac:dyDescent="0.25">
      <c r="A102" s="27" t="s">
        <v>66</v>
      </c>
      <c r="B102" s="62" t="s">
        <v>104</v>
      </c>
      <c r="C102" s="62"/>
      <c r="D102" s="21" t="s">
        <v>144</v>
      </c>
      <c r="E102" s="22"/>
      <c r="F102" s="22"/>
      <c r="G102" s="22"/>
      <c r="H102" s="8"/>
      <c r="I102" s="32"/>
      <c r="J102" s="31"/>
    </row>
    <row r="103" spans="1:10" hidden="1" x14ac:dyDescent="0.25">
      <c r="A103" s="27" t="s">
        <v>67</v>
      </c>
      <c r="B103" s="62" t="s">
        <v>105</v>
      </c>
      <c r="C103" s="62"/>
      <c r="D103" s="21"/>
      <c r="E103" s="22"/>
      <c r="F103" s="22"/>
      <c r="G103" s="22"/>
      <c r="H103" s="8"/>
      <c r="I103" s="32"/>
      <c r="J103" s="31"/>
    </row>
    <row r="104" spans="1:10" ht="28.5" hidden="1" customHeight="1" x14ac:dyDescent="0.25">
      <c r="A104" s="27" t="s">
        <v>68</v>
      </c>
      <c r="B104" s="62" t="s">
        <v>106</v>
      </c>
      <c r="C104" s="62"/>
      <c r="D104" s="21" t="s">
        <v>156</v>
      </c>
      <c r="E104" s="22"/>
      <c r="F104" s="22"/>
      <c r="G104" s="22"/>
      <c r="H104" s="8"/>
      <c r="I104" s="32"/>
      <c r="J104" s="31"/>
    </row>
    <row r="105" spans="1:10" ht="16.5" hidden="1" customHeight="1" x14ac:dyDescent="0.25">
      <c r="A105" s="27" t="s">
        <v>69</v>
      </c>
      <c r="B105" s="62" t="s">
        <v>107</v>
      </c>
      <c r="C105" s="62"/>
      <c r="D105" s="38"/>
      <c r="E105" s="39"/>
      <c r="F105" s="39"/>
      <c r="G105" s="39"/>
      <c r="H105" s="40"/>
      <c r="I105" s="40"/>
      <c r="J105" s="39"/>
    </row>
    <row r="106" spans="1:10" hidden="1" x14ac:dyDescent="0.25">
      <c r="A106" s="28" t="s">
        <v>70</v>
      </c>
      <c r="B106" s="62" t="s">
        <v>93</v>
      </c>
      <c r="C106" s="62"/>
      <c r="D106" s="21" t="s">
        <v>157</v>
      </c>
      <c r="E106" s="22"/>
      <c r="F106" s="22"/>
      <c r="G106" s="22"/>
      <c r="H106" s="8"/>
      <c r="I106" s="32"/>
      <c r="J106" s="31"/>
    </row>
    <row r="107" spans="1:10" ht="42.75" hidden="1" customHeight="1" x14ac:dyDescent="0.25">
      <c r="A107" s="28" t="s">
        <v>71</v>
      </c>
      <c r="B107" s="62" t="s">
        <v>94</v>
      </c>
      <c r="C107" s="62"/>
      <c r="D107" s="21" t="s">
        <v>186</v>
      </c>
      <c r="E107" s="22"/>
      <c r="F107" s="22"/>
      <c r="G107" s="22"/>
      <c r="H107" s="8"/>
      <c r="I107" s="32"/>
      <c r="J107" s="31"/>
    </row>
    <row r="108" spans="1:10" ht="57.75" hidden="1" customHeight="1" x14ac:dyDescent="0.25">
      <c r="A108" s="28" t="s">
        <v>72</v>
      </c>
      <c r="B108" s="62" t="s">
        <v>95</v>
      </c>
      <c r="C108" s="62"/>
      <c r="D108" s="21" t="s">
        <v>172</v>
      </c>
      <c r="E108" s="22"/>
      <c r="F108" s="22"/>
      <c r="G108" s="22"/>
      <c r="H108" s="8"/>
      <c r="I108" s="32"/>
      <c r="J108" s="31"/>
    </row>
    <row r="109" spans="1:10" ht="35.25" hidden="1" customHeight="1" x14ac:dyDescent="0.25">
      <c r="A109" s="28" t="s">
        <v>73</v>
      </c>
      <c r="B109" s="62" t="s">
        <v>96</v>
      </c>
      <c r="C109" s="62"/>
      <c r="D109" s="21"/>
      <c r="E109" s="22"/>
      <c r="F109" s="22"/>
      <c r="G109" s="22"/>
      <c r="H109" s="8"/>
      <c r="I109" s="32"/>
      <c r="J109" s="31"/>
    </row>
    <row r="110" spans="1:10" hidden="1" x14ac:dyDescent="0.25">
      <c r="A110" s="28" t="s">
        <v>74</v>
      </c>
      <c r="B110" s="62" t="s">
        <v>97</v>
      </c>
      <c r="C110" s="62"/>
      <c r="D110" s="21" t="s">
        <v>158</v>
      </c>
      <c r="E110" s="22"/>
      <c r="F110" s="22"/>
      <c r="G110" s="22"/>
      <c r="H110" s="8"/>
      <c r="I110" s="32"/>
      <c r="J110" s="31"/>
    </row>
    <row r="111" spans="1:10" hidden="1" x14ac:dyDescent="0.25">
      <c r="A111" s="28" t="s">
        <v>75</v>
      </c>
      <c r="B111" s="62" t="s">
        <v>139</v>
      </c>
      <c r="C111" s="62"/>
      <c r="D111" s="21" t="s">
        <v>159</v>
      </c>
      <c r="E111" s="22"/>
      <c r="F111" s="22"/>
      <c r="G111" s="22"/>
      <c r="H111" s="8"/>
      <c r="I111" s="32"/>
      <c r="J111" s="31"/>
    </row>
    <row r="112" spans="1:10" hidden="1" x14ac:dyDescent="0.25">
      <c r="A112" s="28" t="s">
        <v>90</v>
      </c>
      <c r="B112" s="62" t="s">
        <v>140</v>
      </c>
      <c r="C112" s="62"/>
      <c r="D112" s="21"/>
      <c r="E112" s="22"/>
      <c r="F112" s="22"/>
      <c r="G112" s="22"/>
      <c r="H112" s="8"/>
      <c r="I112" s="32"/>
      <c r="J112" s="31"/>
    </row>
    <row r="113" spans="1:10" ht="33.75" hidden="1" customHeight="1" x14ac:dyDescent="0.25">
      <c r="A113" s="28" t="s">
        <v>76</v>
      </c>
      <c r="B113" s="62" t="s">
        <v>98</v>
      </c>
      <c r="C113" s="62"/>
      <c r="D113" s="21" t="s">
        <v>160</v>
      </c>
      <c r="E113" s="22"/>
      <c r="F113" s="22"/>
      <c r="G113" s="22"/>
      <c r="H113" s="8"/>
      <c r="I113" s="32"/>
      <c r="J113" s="31"/>
    </row>
    <row r="114" spans="1:10" ht="32.25" hidden="1" customHeight="1" x14ac:dyDescent="0.25">
      <c r="A114" s="28" t="s">
        <v>91</v>
      </c>
      <c r="B114" s="62" t="s">
        <v>141</v>
      </c>
      <c r="C114" s="62"/>
      <c r="D114" s="21" t="s">
        <v>173</v>
      </c>
      <c r="E114" s="22"/>
      <c r="F114" s="22"/>
      <c r="G114" s="22"/>
      <c r="H114" s="8"/>
      <c r="I114" s="32"/>
      <c r="J114" s="31"/>
    </row>
    <row r="115" spans="1:10" ht="27" hidden="1" customHeight="1" x14ac:dyDescent="0.25">
      <c r="A115" s="28" t="s">
        <v>77</v>
      </c>
      <c r="B115" s="62" t="s">
        <v>99</v>
      </c>
      <c r="C115" s="62"/>
      <c r="D115" s="21"/>
      <c r="E115" s="22"/>
      <c r="F115" s="22"/>
      <c r="G115" s="22"/>
      <c r="H115" s="8"/>
      <c r="I115" s="32"/>
      <c r="J115" s="31"/>
    </row>
    <row r="116" spans="1:10" hidden="1" x14ac:dyDescent="0.25">
      <c r="A116" s="27" t="s">
        <v>78</v>
      </c>
      <c r="B116" s="62" t="s">
        <v>108</v>
      </c>
      <c r="C116" s="62"/>
      <c r="D116" s="21"/>
      <c r="E116" s="22"/>
      <c r="F116" s="22"/>
      <c r="G116" s="22"/>
      <c r="H116" s="8"/>
      <c r="I116" s="32"/>
      <c r="J116" s="31"/>
    </row>
    <row r="117" spans="1:10" hidden="1" x14ac:dyDescent="0.25">
      <c r="A117" s="27" t="s">
        <v>79</v>
      </c>
      <c r="B117" s="62" t="s">
        <v>109</v>
      </c>
      <c r="C117" s="62"/>
      <c r="D117" s="21"/>
      <c r="E117" s="22"/>
      <c r="F117" s="22"/>
      <c r="G117" s="22"/>
      <c r="H117" s="8"/>
      <c r="I117" s="32"/>
      <c r="J117" s="31"/>
    </row>
    <row r="118" spans="1:10" ht="26.25" hidden="1" customHeight="1" x14ac:dyDescent="0.25">
      <c r="A118" s="27" t="s">
        <v>80</v>
      </c>
      <c r="B118" s="62" t="s">
        <v>110</v>
      </c>
      <c r="C118" s="62"/>
      <c r="D118" s="21"/>
      <c r="E118" s="22"/>
      <c r="F118" s="22"/>
      <c r="G118" s="22"/>
      <c r="H118" s="8"/>
      <c r="I118" s="32"/>
      <c r="J118" s="31"/>
    </row>
    <row r="119" spans="1:10" ht="24" hidden="1" customHeight="1" x14ac:dyDescent="0.25">
      <c r="A119" s="80" t="s">
        <v>81</v>
      </c>
      <c r="B119" s="80"/>
      <c r="C119" s="63"/>
      <c r="D119" s="64"/>
      <c r="E119" s="64"/>
      <c r="F119" s="64"/>
      <c r="G119" s="64"/>
      <c r="H119" s="64"/>
      <c r="I119" s="64"/>
      <c r="J119" s="65"/>
    </row>
    <row r="120" spans="1:10" ht="27" hidden="1" customHeight="1" x14ac:dyDescent="0.25">
      <c r="A120" s="27" t="s">
        <v>82</v>
      </c>
      <c r="B120" s="62" t="s">
        <v>111</v>
      </c>
      <c r="C120" s="62"/>
      <c r="D120" s="21"/>
      <c r="E120" s="22"/>
      <c r="F120" s="22"/>
      <c r="G120" s="22"/>
      <c r="H120" s="8"/>
      <c r="I120" s="32"/>
      <c r="J120" s="31"/>
    </row>
    <row r="121" spans="1:10" ht="31.5" hidden="1" customHeight="1" x14ac:dyDescent="0.25">
      <c r="A121" s="28" t="s">
        <v>83</v>
      </c>
      <c r="B121" s="62" t="s">
        <v>100</v>
      </c>
      <c r="C121" s="62"/>
      <c r="D121" s="21"/>
      <c r="E121" s="22"/>
      <c r="F121" s="22"/>
      <c r="G121" s="22"/>
      <c r="H121" s="8"/>
      <c r="I121" s="32"/>
      <c r="J121" s="31"/>
    </row>
    <row r="122" spans="1:10" ht="76.5" hidden="1" customHeight="1" x14ac:dyDescent="0.25">
      <c r="A122" s="28" t="s">
        <v>84</v>
      </c>
      <c r="B122" s="62" t="s">
        <v>101</v>
      </c>
      <c r="C122" s="62"/>
      <c r="D122" s="21"/>
      <c r="E122" s="22"/>
      <c r="F122" s="22"/>
      <c r="G122" s="22"/>
      <c r="H122" s="8"/>
      <c r="I122" s="32"/>
      <c r="J122" s="31"/>
    </row>
    <row r="123" spans="1:10" ht="29.25" hidden="1" customHeight="1" x14ac:dyDescent="0.25">
      <c r="A123" s="27" t="s">
        <v>85</v>
      </c>
      <c r="B123" s="62" t="s">
        <v>112</v>
      </c>
      <c r="C123" s="62"/>
      <c r="D123" s="21"/>
      <c r="E123" s="22"/>
      <c r="F123" s="22"/>
      <c r="G123" s="22"/>
      <c r="H123" s="8"/>
      <c r="I123" s="32"/>
      <c r="J123" s="31"/>
    </row>
    <row r="124" spans="1:10" ht="71.25" customHeight="1" x14ac:dyDescent="0.25">
      <c r="A124" s="27"/>
      <c r="B124" s="62" t="s">
        <v>220</v>
      </c>
      <c r="C124" s="62"/>
      <c r="D124" s="42" t="s">
        <v>193</v>
      </c>
      <c r="E124" s="22" t="str">
        <f>IF(C1="","",IF(OR(C4="Approved",C4="CA"),"x",""))</f>
        <v/>
      </c>
      <c r="F124" s="22" t="str">
        <f>IF(C4="Rejected","x","")</f>
        <v/>
      </c>
      <c r="G124" s="22"/>
      <c r="H124" s="8"/>
      <c r="I124" s="32"/>
      <c r="J124" s="31"/>
    </row>
    <row r="125" spans="1:10" ht="16.5" customHeight="1" x14ac:dyDescent="0.25">
      <c r="A125" s="86" t="s">
        <v>221</v>
      </c>
      <c r="B125" s="86"/>
      <c r="C125" s="86"/>
      <c r="D125" s="86"/>
      <c r="E125" s="86"/>
      <c r="F125" s="86"/>
      <c r="G125" s="86"/>
      <c r="H125" s="86"/>
      <c r="I125" s="86"/>
      <c r="J125" s="86"/>
    </row>
    <row r="126" spans="1:10" x14ac:dyDescent="0.25">
      <c r="A126" s="27"/>
      <c r="B126" s="62" t="s">
        <v>222</v>
      </c>
      <c r="C126" s="62"/>
      <c r="D126" s="54" t="s">
        <v>223</v>
      </c>
      <c r="E126" s="22" t="s">
        <v>189</v>
      </c>
      <c r="F126" s="22"/>
      <c r="G126" s="22"/>
      <c r="H126" s="8"/>
      <c r="I126" s="32"/>
      <c r="J126" s="31"/>
    </row>
    <row r="127" spans="1:10" x14ac:dyDescent="0.25">
      <c r="A127" s="16"/>
    </row>
    <row r="128" spans="1:10" x14ac:dyDescent="0.25">
      <c r="A128" s="16"/>
    </row>
    <row r="129" spans="1:1" x14ac:dyDescent="0.25">
      <c r="A129" s="16"/>
    </row>
    <row r="130" spans="1:1" x14ac:dyDescent="0.25">
      <c r="A130" s="16"/>
    </row>
    <row r="131" spans="1:1" x14ac:dyDescent="0.25">
      <c r="A131" s="15"/>
    </row>
    <row r="132" spans="1:1" x14ac:dyDescent="0.25">
      <c r="A132" s="15"/>
    </row>
    <row r="133" spans="1:1" x14ac:dyDescent="0.25">
      <c r="A133" s="15"/>
    </row>
    <row r="134" spans="1:1" x14ac:dyDescent="0.25">
      <c r="A134" s="15"/>
    </row>
    <row r="135" spans="1:1" x14ac:dyDescent="0.25">
      <c r="A135" s="15"/>
    </row>
    <row r="136" spans="1:1" x14ac:dyDescent="0.25">
      <c r="A136" s="15"/>
    </row>
    <row r="137" spans="1:1" x14ac:dyDescent="0.25">
      <c r="A137" s="15"/>
    </row>
    <row r="138" spans="1:1" x14ac:dyDescent="0.25">
      <c r="A138" s="15"/>
    </row>
  </sheetData>
  <mergeCells count="134">
    <mergeCell ref="B30:C30"/>
    <mergeCell ref="B126:C126"/>
    <mergeCell ref="A125:J125"/>
    <mergeCell ref="B26:C26"/>
    <mergeCell ref="B20:C20"/>
    <mergeCell ref="B21:C21"/>
    <mergeCell ref="A1:B1"/>
    <mergeCell ref="A2:B2"/>
    <mergeCell ref="A3:B3"/>
    <mergeCell ref="A6:J6"/>
    <mergeCell ref="A7:H7"/>
    <mergeCell ref="E8:G8"/>
    <mergeCell ref="A4:B4"/>
    <mergeCell ref="B9:C9"/>
    <mergeCell ref="B12:C12"/>
    <mergeCell ref="B13:C13"/>
    <mergeCell ref="B35:C35"/>
    <mergeCell ref="B38:C38"/>
    <mergeCell ref="A64:J64"/>
    <mergeCell ref="B59:C59"/>
    <mergeCell ref="B60:C60"/>
    <mergeCell ref="B61:C61"/>
    <mergeCell ref="B62:C62"/>
    <mergeCell ref="B63:C63"/>
    <mergeCell ref="B57:C57"/>
    <mergeCell ref="A54:B54"/>
    <mergeCell ref="B81:C81"/>
    <mergeCell ref="B82:C82"/>
    <mergeCell ref="B88:C88"/>
    <mergeCell ref="C79:J79"/>
    <mergeCell ref="C65:J65"/>
    <mergeCell ref="B90:C90"/>
    <mergeCell ref="B91:C91"/>
    <mergeCell ref="B83:C83"/>
    <mergeCell ref="B84:C84"/>
    <mergeCell ref="B85:C85"/>
    <mergeCell ref="B86:C86"/>
    <mergeCell ref="B80:C80"/>
    <mergeCell ref="A119:B119"/>
    <mergeCell ref="A65:B65"/>
    <mergeCell ref="A79:B79"/>
    <mergeCell ref="A89:J89"/>
    <mergeCell ref="B66:C66"/>
    <mergeCell ref="B67:C67"/>
    <mergeCell ref="B68:C68"/>
    <mergeCell ref="B69:C69"/>
    <mergeCell ref="B70:C70"/>
    <mergeCell ref="B71:C71"/>
    <mergeCell ref="B72:C72"/>
    <mergeCell ref="B73:C73"/>
    <mergeCell ref="B74:C74"/>
    <mergeCell ref="B75:C75"/>
    <mergeCell ref="B76:C76"/>
    <mergeCell ref="C98:J98"/>
    <mergeCell ref="B92:C92"/>
    <mergeCell ref="A97:J97"/>
    <mergeCell ref="A98:B98"/>
    <mergeCell ref="B108:C108"/>
    <mergeCell ref="B93:C93"/>
    <mergeCell ref="B94:C94"/>
    <mergeCell ref="B95:C95"/>
    <mergeCell ref="B113:C113"/>
    <mergeCell ref="B14:C14"/>
    <mergeCell ref="B109:C109"/>
    <mergeCell ref="B110:C110"/>
    <mergeCell ref="B111:C111"/>
    <mergeCell ref="B112:C112"/>
    <mergeCell ref="B103:C103"/>
    <mergeCell ref="B104:C104"/>
    <mergeCell ref="B105:C105"/>
    <mergeCell ref="B106:C106"/>
    <mergeCell ref="B107:C107"/>
    <mergeCell ref="B34:C34"/>
    <mergeCell ref="B29:C29"/>
    <mergeCell ref="B31:C31"/>
    <mergeCell ref="B33:C33"/>
    <mergeCell ref="B36:C36"/>
    <mergeCell ref="B44:C44"/>
    <mergeCell ref="B45:C45"/>
    <mergeCell ref="B46:C46"/>
    <mergeCell ref="B48:C48"/>
    <mergeCell ref="B49:C49"/>
    <mergeCell ref="B50:C50"/>
    <mergeCell ref="B78:C78"/>
    <mergeCell ref="B56:C56"/>
    <mergeCell ref="B96:C96"/>
    <mergeCell ref="B115:C115"/>
    <mergeCell ref="B87:C87"/>
    <mergeCell ref="B77:C77"/>
    <mergeCell ref="B117:C117"/>
    <mergeCell ref="B51:C51"/>
    <mergeCell ref="A11:B11"/>
    <mergeCell ref="A10:J10"/>
    <mergeCell ref="A47:B47"/>
    <mergeCell ref="A37:B37"/>
    <mergeCell ref="A17:B17"/>
    <mergeCell ref="B39:C39"/>
    <mergeCell ref="B41:C41"/>
    <mergeCell ref="B42:C42"/>
    <mergeCell ref="B40:C40"/>
    <mergeCell ref="B43:C43"/>
    <mergeCell ref="B27:C27"/>
    <mergeCell ref="B15:C15"/>
    <mergeCell ref="B16:C16"/>
    <mergeCell ref="B18:C18"/>
    <mergeCell ref="B19:C19"/>
    <mergeCell ref="B22:C22"/>
    <mergeCell ref="B23:C23"/>
    <mergeCell ref="B24:C24"/>
    <mergeCell ref="B25:C25"/>
    <mergeCell ref="B116:C116"/>
    <mergeCell ref="C119:J119"/>
    <mergeCell ref="B28:C28"/>
    <mergeCell ref="B32:C32"/>
    <mergeCell ref="B124:C124"/>
    <mergeCell ref="B122:C122"/>
    <mergeCell ref="B123:C123"/>
    <mergeCell ref="C11:J11"/>
    <mergeCell ref="C17:J17"/>
    <mergeCell ref="C37:J37"/>
    <mergeCell ref="C47:J47"/>
    <mergeCell ref="C54:J54"/>
    <mergeCell ref="B58:C58"/>
    <mergeCell ref="B99:C99"/>
    <mergeCell ref="B100:C100"/>
    <mergeCell ref="B101:C101"/>
    <mergeCell ref="B102:C102"/>
    <mergeCell ref="B118:C118"/>
    <mergeCell ref="B120:C120"/>
    <mergeCell ref="B121:C121"/>
    <mergeCell ref="B52:C52"/>
    <mergeCell ref="B53:C53"/>
    <mergeCell ref="B55:C55"/>
    <mergeCell ref="B114:C114"/>
  </mergeCells>
  <phoneticPr fontId="11" type="noConversion"/>
  <conditionalFormatting sqref="A12:C16 A27:B27 A28:A32">
    <cfRule type="expression" dxfId="17" priority="22">
      <formula>$F12&lt;&gt;""</formula>
    </cfRule>
  </conditionalFormatting>
  <conditionalFormatting sqref="A33:C36 A18:C26">
    <cfRule type="expression" dxfId="16" priority="21">
      <formula>$F18&lt;&gt;""</formula>
    </cfRule>
  </conditionalFormatting>
  <conditionalFormatting sqref="A38:C46">
    <cfRule type="expression" dxfId="15" priority="20">
      <formula>$F38&lt;&gt;""</formula>
    </cfRule>
  </conditionalFormatting>
  <conditionalFormatting sqref="A55:C63">
    <cfRule type="expression" dxfId="14" priority="18">
      <formula>$F55&lt;&gt;""</formula>
    </cfRule>
  </conditionalFormatting>
  <conditionalFormatting sqref="A76:C78">
    <cfRule type="expression" dxfId="13" priority="17">
      <formula>$F76&lt;&gt;""</formula>
    </cfRule>
  </conditionalFormatting>
  <conditionalFormatting sqref="A80:C88">
    <cfRule type="expression" dxfId="12" priority="16">
      <formula>$F80&lt;&gt;""</formula>
    </cfRule>
  </conditionalFormatting>
  <conditionalFormatting sqref="A90:C96">
    <cfRule type="expression" dxfId="11" priority="15">
      <formula>$F90&lt;&gt;""</formula>
    </cfRule>
  </conditionalFormatting>
  <conditionalFormatting sqref="A99:C118">
    <cfRule type="expression" dxfId="10" priority="14">
      <formula>$F99&lt;&gt;""</formula>
    </cfRule>
  </conditionalFormatting>
  <conditionalFormatting sqref="A120:C123">
    <cfRule type="expression" dxfId="9" priority="13">
      <formula>$F120&lt;&gt;""</formula>
    </cfRule>
  </conditionalFormatting>
  <conditionalFormatting sqref="A124:C124">
    <cfRule type="expression" dxfId="8" priority="12">
      <formula>$F124&lt;&gt;""</formula>
    </cfRule>
  </conditionalFormatting>
  <conditionalFormatting sqref="B31:C31">
    <cfRule type="expression" dxfId="7" priority="11">
      <formula>$F31&lt;&gt;""</formula>
    </cfRule>
  </conditionalFormatting>
  <conditionalFormatting sqref="B32:C32">
    <cfRule type="expression" dxfId="6" priority="10">
      <formula>$F32&lt;&gt;""</formula>
    </cfRule>
  </conditionalFormatting>
  <conditionalFormatting sqref="B31:C31">
    <cfRule type="expression" dxfId="5" priority="8">
      <formula>$F31&lt;&gt;""</formula>
    </cfRule>
  </conditionalFormatting>
  <conditionalFormatting sqref="B28">
    <cfRule type="expression" dxfId="4" priority="7">
      <formula>$F28&lt;&gt;""</formula>
    </cfRule>
  </conditionalFormatting>
  <conditionalFormatting sqref="B29:B30">
    <cfRule type="expression" dxfId="3" priority="6">
      <formula>$F29&lt;&gt;""</formula>
    </cfRule>
  </conditionalFormatting>
  <conditionalFormatting sqref="A48:C53">
    <cfRule type="expression" dxfId="2" priority="5">
      <formula>$F48&lt;&gt;""</formula>
    </cfRule>
  </conditionalFormatting>
  <conditionalFormatting sqref="A66:C75">
    <cfRule type="expression" dxfId="1" priority="4">
      <formula>$F66&lt;&gt;""</formula>
    </cfRule>
  </conditionalFormatting>
  <conditionalFormatting sqref="A126:C126">
    <cfRule type="expression" dxfId="0" priority="1">
      <formula>$F126&lt;&gt;""</formula>
    </cfRule>
  </conditionalFormatting>
  <hyperlinks>
    <hyperlink ref="B42" location="_bookmark9" display="_bookmark9" xr:uid="{EB3F79AA-60B0-4281-9309-C849F7DB7782}"/>
    <hyperlink ref="B45" location="_bookmark10" display="_bookmark10" xr:uid="{A3951F28-7088-47D4-80ED-8300DDCA437A}"/>
    <hyperlink ref="B111" location="_bookmark18" display="_bookmark18" xr:uid="{21F65DC8-80CE-4048-8CF3-4553846F5ED2}"/>
    <hyperlink ref="B50" location="_bookmark12" display="_bookmark12" xr:uid="{BA752E35-BF94-4B6A-A2B9-1D7D1BBCD386}"/>
  </hyperlinks>
  <pageMargins left="0.7" right="0.7" top="0.75" bottom="0.75" header="0.3" footer="0.3"/>
  <pageSetup orientation="portrait" r:id="rId1"/>
  <ignoredErrors>
    <ignoredError sqref="A26"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pyCell">
                <anchor moveWithCells="1" sizeWithCells="1">
                  <from>
                    <xdr:col>7</xdr:col>
                    <xdr:colOff>1066800</xdr:colOff>
                    <xdr:row>1</xdr:row>
                    <xdr:rowOff>57150</xdr:rowOff>
                  </from>
                  <to>
                    <xdr:col>8</xdr:col>
                    <xdr:colOff>0</xdr:colOff>
                    <xdr:row>3</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DER Study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Nogosek</dc:creator>
  <cp:lastModifiedBy>Joe Nogosek</cp:lastModifiedBy>
  <dcterms:created xsi:type="dcterms:W3CDTF">2006-09-16T00:00:00Z</dcterms:created>
  <dcterms:modified xsi:type="dcterms:W3CDTF">2021-11-29T16:51:43Z</dcterms:modified>
</cp:coreProperties>
</file>