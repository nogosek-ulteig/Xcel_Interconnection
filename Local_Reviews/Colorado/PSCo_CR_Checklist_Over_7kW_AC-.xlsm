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defaultThemeVersion="124226"/>
  <mc:AlternateContent xmlns:mc="http://schemas.openxmlformats.org/markup-compatibility/2006">
    <mc:Choice Requires="x15">
      <x15ac:absPath xmlns:x15ac="http://schemas.microsoft.com/office/spreadsheetml/2010/11/ac" url="\\uei.com\ulteig$\Projects\2023\23.22984\CO_Reviews\"/>
    </mc:Choice>
  </mc:AlternateContent>
  <xr:revisionPtr revIDLastSave="0" documentId="13_ncr:1_{375CF944-2791-40EF-9830-E628DF69DAC4}" xr6:coauthVersionLast="47" xr6:coauthVersionMax="47" xr10:uidLastSave="{00000000-0000-0000-0000-000000000000}"/>
  <bookViews>
    <workbookView xWindow="-120" yWindow="-120" windowWidth="29040" windowHeight="15840" tabRatio="621" xr2:uid="{00000000-000D-0000-FFFF-FFFF00000000}"/>
  </bookViews>
  <sheets>
    <sheet name="Completeness Review" sheetId="20" r:id="rId1"/>
    <sheet name="Level 1 Screen" sheetId="18" state="hidden" r:id="rId2"/>
    <sheet name="Rej Comments" sheetId="21" r:id="rId3"/>
    <sheet name="Drop Down Lists" sheetId="23" state="hidden" r:id="rId4"/>
    <sheet name="Meter Action Guide" sheetId="22"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93" i="20" l="1"/>
  <c r="E93" i="20"/>
  <c r="G92" i="20"/>
  <c r="E92" i="20"/>
  <c r="H93" i="20"/>
  <c r="H92" i="20"/>
  <c r="J1" i="20" l="1"/>
  <c r="A95" i="20" l="1"/>
  <c r="G46" i="20" s="1"/>
  <c r="H79" i="20"/>
  <c r="E46" i="20" l="1"/>
  <c r="G39" i="20" l="1"/>
  <c r="E39" i="20"/>
  <c r="E13" i="20"/>
  <c r="G90" i="20" l="1"/>
  <c r="G87" i="20"/>
  <c r="E83" i="20"/>
  <c r="E84" i="20"/>
  <c r="E85" i="20"/>
  <c r="E86" i="20"/>
  <c r="E88" i="20"/>
  <c r="E89" i="20"/>
  <c r="E82" i="20"/>
  <c r="G79" i="20"/>
  <c r="E71" i="20"/>
  <c r="E72" i="20"/>
  <c r="E73" i="20"/>
  <c r="E74" i="20"/>
  <c r="E75" i="20"/>
  <c r="E76" i="20"/>
  <c r="E77" i="20"/>
  <c r="E78" i="20"/>
  <c r="E70" i="20"/>
  <c r="G64" i="20"/>
  <c r="G65" i="20"/>
  <c r="G66" i="20"/>
  <c r="G63" i="20"/>
  <c r="E62" i="20"/>
  <c r="E61" i="20"/>
  <c r="E53" i="20"/>
  <c r="G55" i="20"/>
  <c r="G56" i="20"/>
  <c r="G57" i="20"/>
  <c r="G54" i="20"/>
  <c r="G48" i="20"/>
  <c r="G49" i="20"/>
  <c r="G50" i="20"/>
  <c r="G51" i="20"/>
  <c r="G52" i="20"/>
  <c r="G47" i="20"/>
  <c r="G40" i="20"/>
  <c r="G41" i="20"/>
  <c r="G35" i="20"/>
  <c r="E19" i="20"/>
  <c r="E20" i="20"/>
  <c r="E21" i="20"/>
  <c r="E22" i="20"/>
  <c r="E23" i="20"/>
  <c r="E24" i="20"/>
  <c r="E25" i="20"/>
  <c r="E26" i="20"/>
  <c r="E27" i="20"/>
  <c r="E28" i="20"/>
  <c r="E29" i="20"/>
  <c r="E30" i="20"/>
  <c r="E31" i="20"/>
  <c r="E32" i="20"/>
  <c r="E33" i="20"/>
  <c r="E18" i="20"/>
  <c r="E14" i="20"/>
  <c r="E15" i="20"/>
  <c r="E34" i="20"/>
  <c r="H47" i="20"/>
  <c r="H36" i="20"/>
  <c r="H75" i="20"/>
  <c r="A92" i="20" l="1"/>
  <c r="K12" i="20" l="1"/>
  <c r="H27" i="20" a="1"/>
  <c r="H27" i="20" s="1"/>
  <c r="H62" i="20" a="1"/>
  <c r="H62" i="20" s="1"/>
  <c r="K14" i="20" l="1"/>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4" i="20"/>
  <c r="K46" i="20"/>
  <c r="K47" i="20"/>
  <c r="K48" i="20"/>
  <c r="K49" i="20"/>
  <c r="K50" i="20"/>
  <c r="K51" i="20"/>
  <c r="K53" i="20"/>
  <c r="K54" i="20"/>
  <c r="H87" i="20"/>
  <c r="C7" i="20" l="1"/>
  <c r="H13" i="20" l="1"/>
  <c r="K13" i="20" s="1"/>
  <c r="H23" i="20"/>
  <c r="H24" i="20"/>
  <c r="H28" i="20"/>
  <c r="H29" i="20"/>
  <c r="H32" i="20"/>
  <c r="H34" i="20"/>
  <c r="H35" i="20"/>
  <c r="E36" i="20"/>
  <c r="G36" i="20" s="1"/>
  <c r="E37" i="20"/>
  <c r="G37" i="20" s="1"/>
  <c r="D38" i="20" a="1"/>
  <c r="D38" i="20" s="1"/>
  <c r="F7" i="20" l="1"/>
  <c r="F8" i="20"/>
  <c r="K1" i="20"/>
  <c r="H70" i="20" l="1"/>
  <c r="A94" i="20" l="1"/>
  <c r="D97" i="20" l="1"/>
  <c r="D71" i="20"/>
  <c r="D70" i="20"/>
  <c r="K61" i="20"/>
  <c r="K69" i="20" l="1"/>
  <c r="C5" i="20" l="1"/>
  <c r="K8" i="20" s="1"/>
  <c r="K9" i="20" l="1"/>
  <c r="K73" i="20"/>
  <c r="K78" i="20"/>
  <c r="K79" i="20"/>
  <c r="K80" i="20"/>
  <c r="K81" i="20"/>
  <c r="K82" i="20"/>
  <c r="K83" i="20"/>
  <c r="K84" i="20"/>
  <c r="K85" i="20"/>
  <c r="K86" i="20"/>
  <c r="K87" i="20"/>
  <c r="K90" i="20"/>
  <c r="K55" i="20"/>
  <c r="K56" i="20"/>
  <c r="K57" i="20"/>
  <c r="K59" i="20"/>
  <c r="K63" i="20"/>
  <c r="K64" i="20"/>
  <c r="K65" i="20"/>
  <c r="K66" i="20"/>
  <c r="H76" i="20" l="1"/>
  <c r="K76" i="20" s="1"/>
  <c r="H89" i="20"/>
  <c r="K89" i="20" s="1"/>
  <c r="H88" i="20" a="1"/>
  <c r="H88" i="20" s="1"/>
  <c r="K88" i="20" s="1"/>
  <c r="K75" i="20"/>
  <c r="D5" i="20" s="1" a="1"/>
  <c r="D5" i="20" s="1"/>
  <c r="H100" i="20" s="1"/>
  <c r="H74" i="20"/>
  <c r="K74" i="20" s="1"/>
  <c r="H73" i="20"/>
  <c r="H72" i="20"/>
  <c r="K72" i="20" s="1"/>
  <c r="H71" i="20"/>
  <c r="K71" i="20" s="1"/>
  <c r="K70" i="20"/>
  <c r="K68" i="20"/>
  <c r="K67" i="20"/>
  <c r="K62" i="20"/>
  <c r="H52" i="20"/>
  <c r="K52" i="20" s="1"/>
  <c r="H9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tc={FF6ACE2B-659C-48C8-AA14-6706054D520F}</author>
    <author>tc={E26BFD79-9D5A-4C11-8BA9-A2930629A539}</author>
    <author>tc={0F4C9EDD-0EDF-4AA4-9A9A-D1E6F8D01BD8}</author>
    <author>tc={88D1BA36-77C5-4530-8E87-671C0C6D5ED5}</author>
    <author>tc={41045712-A4BC-4568-BFCB-9AB2B4A2F00C}</author>
    <author>tc={8CF46388-E41F-4E9C-83F3-FEAB8F648390}</author>
    <author>tc={A7ABFA50-6722-4A27-9E50-FB9EDF0FDB92}</author>
    <author>tc={2F955E47-11D9-40D6-B496-A4BA01CD5240}</author>
    <author>tc={40F5C670-6699-48CB-9CEE-2451B1827357}</author>
    <author>tc={B66D766A-5EC0-417E-82C1-B0D57B99D247}</author>
    <author>tc={B3284D25-0B9F-4C14-9286-4EAEE5E14801}</author>
    <author>tc={A090E16A-081D-44B8-9EC6-DEBBAE6F7DDC}</author>
  </authors>
  <commentList>
    <comment ref="D13" authorId="0" shapeId="0" xr:uid="{FF6ACE2B-659C-48C8-AA14-6706054D520F}">
      <text>
        <t>[Threaded comment]
Your version of Excel allows you to read this threaded comment; however, any edits to it will get removed if the file is opened in a newer version of Excel. Learn more: https://go.microsoft.com/fwlink/?linkid=870924
Comment:
    -If last name matches no need to comment just approve.
-For QCer if they don’t match check salesforce to make sure the correct name isn't under "Legal Entity Name"
Reply:
    If it is misspelled that is only a CA.</t>
      </text>
    </comment>
    <comment ref="D14" authorId="1" shapeId="0" xr:uid="{E26BFD79-9D5A-4C11-8BA9-A2930629A539}">
      <text>
        <t>[Threaded comment]
Your version of Excel allows you to read this threaded comment; however, any edits to it will get removed if the file is opened in a newer version of Excel. Learn more: https://go.microsoft.com/fwlink/?linkid=870924
Comment:
    Check premise address and customer inputted address fields in Salesforce to make sure they match. Contact Solar*Rewards if they don’t.
Reply:
    If the Zip codes don’t match check google to see if the take you to the same place or if Xcel records are wrong.</t>
      </text>
    </comment>
    <comment ref="D21" authorId="2" shapeId="0" xr:uid="{0F4C9EDD-0EDF-4AA4-9A9A-D1E6F8D01BD8}">
      <text>
        <t>[Threaded comment]
Your version of Excel allows you to read this threaded comment; however, any edits to it will get removed if the file is opened in a newer version of Excel. Learn more: https://go.microsoft.com/fwlink/?linkid=870924
Comment:
    If less than 20kW DC application contains a CT meter (Rather than self contained) consult David Wynkoop</t>
      </text>
    </comment>
    <comment ref="D27" authorId="3" shapeId="0" xr:uid="{88D1BA36-77C5-4530-8E87-671C0C6D5ED5}">
      <text>
        <t>[Threaded comment]
Your version of Excel allows you to read this threaded comment; however, any edits to it will get removed if the file is opened in a newer version of Excel. Learn more: https://go.microsoft.com/fwlink/?linkid=870924
Comment:
    CA - Inverter quantity &amp; model are correct and inverter rating is listed 
Approve - Single inverter and it lists its rating
Reply:
    Do not reject for 7kW AC or less</t>
      </text>
    </comment>
    <comment ref="D30" authorId="4" shapeId="0" xr:uid="{41045712-A4BC-4568-BFCB-9AB2B4A2F00C}">
      <text>
        <t>[Threaded comment]
Your version of Excel allows you to read this threaded comment; however, any edits to it will get removed if the file is opened in a newer version of Excel. Learn more: https://go.microsoft.com/fwlink/?linkid=870924
Comment:
    Does not need to be exact just has to get the point that they are using the inverter that is in Salesforce.
Reply:
    If the inverters and module seemed to be flipped or inverters are listed in both fields check salesforce the script messes up sometimes. 
Reply:
    PUT "x" IN THE SYSTEM AND APPLICATION DETAILS UNDER ACTIONS TO BE REOPENED</t>
      </text>
    </comment>
    <comment ref="D31" authorId="5" shapeId="0" xr:uid="{8CF46388-E41F-4E9C-83F3-FEAB8F648390}">
      <text>
        <t>[Threaded comment]
Your version of Excel allows you to read this threaded comment; however, any edits to it will get removed if the file is opened in a newer version of Excel. Learn more: https://go.microsoft.com/fwlink/?linkid=870924
Comment:
    Does not need to be exact just has to get the point that they are using the PV module that is in Salesforce.
Reply:
    If the inverters and module seemed to be flipped or inverters are listed in both fields check salesforce the script messes up sometimes.
Reply:
    PUT "x" IN THE SYSTEM AND APPLICATION DETAILS UNDER ACTIONS TO BE REOPENED</t>
      </text>
    </comment>
    <comment ref="D35" authorId="6" shapeId="0" xr:uid="{A7ABFA50-6722-4A27-9E50-FB9EDF0FDB92}">
      <text>
        <t>[Threaded comment]
Your version of Excel allows you to read this threaded comment; however, any edits to it will get removed if the file is opened in a newer version of Excel. Learn more: https://go.microsoft.com/fwlink/?linkid=870924
Comment:
    --AUTO REJECT if its missing from the one line or salesforce.
--ONLY CA is if they show the existing size in salesforce and show it on the documents but a missing the check for existing in salesforce</t>
      </text>
    </comment>
    <comment ref="D36" authorId="7" shapeId="0" xr:uid="{2F955E47-11D9-40D6-B496-A4BA01CD5240}">
      <text>
        <t>[Threaded comment]
Your version of Excel allows you to read this threaded comment; however, any edits to it will get removed if the file is opened in a newer version of Excel. Learn more: https://go.microsoft.com/fwlink/?linkid=870924
Comment:
    Check the approved ESS checklist in the Training and Documents folder if you are unsure.</t>
      </text>
    </comment>
    <comment ref="D37" authorId="8" shapeId="0" xr:uid="{40F5C670-6699-48CB-9CEE-2451B1827357}">
      <text>
        <t>[Threaded comment]
Your version of Excel allows you to read this threaded comment; however, any edits to it will get removed if the file is opened in a newer version of Excel. Learn more: https://go.microsoft.com/fwlink/?linkid=870924
Comment:
    2B - Solar (No export)
2C - Solar, Utility (No export)
3A, 3B - Solar (Yes Export)</t>
      </text>
    </comment>
    <comment ref="D41" authorId="9" shapeId="0" xr:uid="{B66D766A-5EC0-417E-82C1-B0D57B99D247}">
      <text>
        <t>[Threaded comment]
Your version of Excel allows you to read this threaded comment; however, any edits to it will get removed if the file is opened in a newer version of Excel. Learn more: https://go.microsoft.com/fwlink/?linkid=870924
Comment:
    Typically you can tell if the old system is incentive based if they have a production meter. If the existing system doesn’t have a production meter it wasn't incentive based.</t>
      </text>
    </comment>
    <comment ref="D79" authorId="10" shapeId="0" xr:uid="{B3284D25-0B9F-4C14-9286-4EAEE5E14801}">
      <text>
        <t>[Threaded comment]
Your version of Excel allows you to read this threaded comment; however, any edits to it will get removed if the file is opened in a newer version of Excel. Learn more: https://go.microsoft.com/fwlink/?linkid=870924
Comment:
    Drip side of the house is the side the roof slants towards. So if you  think of it raining it’s the side the water all runs off too. Consult David with any questions.
Reply:
    This is only applicable if a production meter is required.</t>
      </text>
    </comment>
    <comment ref="D82" authorId="11" shapeId="0" xr:uid="{A090E16A-081D-44B8-9EC6-DEBBAE6F7DDC}">
      <text>
        <t>[Threaded comment]
Your version of Excel allows you to read this threaded comment; however, any edits to it will get removed if the file is opened in a newer version of Excel. Learn more: https://go.microsoft.com/fwlink/?linkid=870924
Comment:
    If they are using microinverters and show the solar panels. The should never be rejected only CA or approved.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<sst xmlns="http://schemas.openxmlformats.org/spreadsheetml/2006/main" count="728" uniqueCount="453">
  <si>
    <t>Revision Date</t>
  </si>
  <si>
    <t>QA/QC Engineer</t>
  </si>
  <si>
    <t>Date of QA/QC</t>
  </si>
  <si>
    <t>Yes</t>
  </si>
  <si>
    <t>No</t>
  </si>
  <si>
    <t>N/A</t>
  </si>
  <si>
    <t>Review Item</t>
  </si>
  <si>
    <t>Items to be completed by person who completed drawing/study</t>
  </si>
  <si>
    <t>Items to be completed by person doing the QA/QC</t>
  </si>
  <si>
    <t>Reviewer</t>
  </si>
  <si>
    <t>Section #</t>
  </si>
  <si>
    <t>Pass Review?</t>
  </si>
  <si>
    <t>Status (Approved/Rejected)</t>
  </si>
  <si>
    <t>Pass QA</t>
  </si>
  <si>
    <t>Fail QA</t>
  </si>
  <si>
    <t>Training Notes</t>
  </si>
  <si>
    <t>Review Notes (include condition Pass or auto reject)</t>
  </si>
  <si>
    <t>Due Date</t>
  </si>
  <si>
    <t>Click the button to copy the highlighted cell below and then paste into approval/rejection notes on SF.</t>
  </si>
  <si>
    <t>Horizon Client Connection Server:</t>
  </si>
  <si>
    <t>myappsgo.xcelenergy.com</t>
  </si>
  <si>
    <t>Complete</t>
  </si>
  <si>
    <t>Step</t>
  </si>
  <si>
    <t>Description</t>
  </si>
  <si>
    <t>Needs to be done everytime prior to entering Case #</t>
  </si>
  <si>
    <t>Select "Interconnection Service Type"</t>
  </si>
  <si>
    <t>Launch GIS and Search Address</t>
  </si>
  <si>
    <t>Verify Transformer Voltage Matches Voltage on Oneline (if not select no)</t>
  </si>
  <si>
    <t>Need to let solar office know if this doesn't match</t>
  </si>
  <si>
    <t>Select Transformer Type and Voltage</t>
  </si>
  <si>
    <t xml:space="preserve">Select Yes/No for other Customers on Secondary </t>
  </si>
  <si>
    <t>Populate additional DER on the same transformer</t>
  </si>
  <si>
    <t>Put 0 if none</t>
  </si>
  <si>
    <t>Select No for "machine based DER" on feeder and sub (2 separate lines)</t>
  </si>
  <si>
    <t>Always assume no for this--it does not affect level 1 screens</t>
  </si>
  <si>
    <t>This refers to other customers on same transformer. 2 services at the same address count as 1 customer.</t>
  </si>
  <si>
    <t>Verify the size of aggregate DER on transformer is smaller than transformer size</t>
  </si>
  <si>
    <t>This will typically be "Secondary BTM" (BTM - Behind the Meter). Once this type is selected the "address is in service territory" info will be populated.</t>
  </si>
  <si>
    <t>Status (Approve/Reject)</t>
  </si>
  <si>
    <t>OID Number</t>
  </si>
  <si>
    <t>Add service conductor type and length and "transformer KVA" to "1PH SEC DESIGN" tab.</t>
  </si>
  <si>
    <t>x</t>
  </si>
  <si>
    <t>UNDER 25kW ONLY</t>
  </si>
  <si>
    <t>Populate Name, review Date and OpCo (should always be PSCo)</t>
  </si>
  <si>
    <t>Populate OID # in the "Case #" cell</t>
  </si>
  <si>
    <t>Some information should auto populate once you do this</t>
  </si>
  <si>
    <t>Verify Generator "Phase Configuration" and "Voltage" match developer one line</t>
  </si>
  <si>
    <t>Make sure battery storage info is correctly populated in tool compared to developer one line</t>
  </si>
  <si>
    <t>Add secondary conductor size and length.</t>
  </si>
  <si>
    <t>Excluded configuration &amp; operating modes: all other configurations not applied for (1A,1B,1C,2A,2B,2C,3A,3B)</t>
  </si>
  <si>
    <t>Storage guidance configuration: this is the configuration specified in Salesforce</t>
  </si>
  <si>
    <t>Total power export: "XX kW" - PV export only, use PV AC rating studied</t>
  </si>
  <si>
    <t>Programming requirements: For 3A and 3B, use "charge from PV"</t>
  </si>
  <si>
    <t>Ground referencing transformer compliance: "N/A' - system is smaller than 100kW</t>
  </si>
  <si>
    <t>IF CUSTOMER HAS A BATTERY BACKUP, in Salesforce OID 'App Management' tab, fill out the following prompts:</t>
  </si>
  <si>
    <t>Battery backup: "check"</t>
  </si>
  <si>
    <t>Sstart-up, shut-down and ramp rates: N/A</t>
  </si>
  <si>
    <t>Storage only installations configuration: could be blank or something like "2C compliant" or "not 1A or 2A exemption eligible"</t>
  </si>
  <si>
    <t>Select the service drop based on Xcel construction standards and estimate the length. As a rule-of-thumb, underground services are almost never smaller than 1/0AL, and overhead services can be conservatively estimated as #2AL. Service lengths can also be estimated via Google Earth.</t>
  </si>
  <si>
    <t>APPLICATIONS REQUIRING UPGRADES (XEL-funded Betterment upgrades)</t>
  </si>
  <si>
    <t xml:space="preserve">Upgrades should be funded under betterment in cases where existing facilities with multiple customers are overloaded or not up to Xcel’s current electric distribution design standards. If existing facilities are dedicated to one customer, the Company will not perform upgrades under betterment. </t>
  </si>
  <si>
    <t>Does the customer count on the transformer exceed current standards?</t>
  </si>
  <si>
    <t>APPLICATIONS REQUIRING UPGRADES (customer-funded upgrades)</t>
  </si>
  <si>
    <t xml:space="preserve">When the underground and overhead design standards are met and there is no existing overload condition, the required upgrades to accommodate the DER are at the customer’s expense. The customer will need to contact the Builder’s Call Line (1-800-628-2121) to initiate the upgrade process. </t>
  </si>
  <si>
    <t>Screens for CCR Section 3855, (b)(iii) and (b)(iv) on this tab are not applicable to our reviews.</t>
  </si>
  <si>
    <t>Determine which additional upgrades are needed to pass the application.</t>
  </si>
  <si>
    <t>Should be completed for all residential rooftop PV systems to ensure service voltage is within +/-5%, as required by the PSCo electric tariff.</t>
  </si>
  <si>
    <t>VOLTAGE RISE ANALYSIS in '1PH SEC DESIGN' tab</t>
  </si>
  <si>
    <r>
      <t>Download PSCo Screening Tool and save file as "</t>
    </r>
    <r>
      <rPr>
        <i/>
        <sz val="10"/>
        <color theme="1"/>
        <rFont val="Calibri"/>
        <family val="2"/>
        <scheme val="minor"/>
      </rPr>
      <t>OID#######_Sub_Feeder.xlsm</t>
    </r>
    <r>
      <rPr>
        <sz val="10"/>
        <color theme="1"/>
        <rFont val="Calibri"/>
        <family val="2"/>
        <scheme val="minor"/>
      </rPr>
      <t>"</t>
    </r>
  </si>
  <si>
    <r>
      <t>Refer to Word Doc in Training and Documentation Folder "</t>
    </r>
    <r>
      <rPr>
        <i/>
        <sz val="10"/>
        <color theme="1"/>
        <rFont val="Calibri"/>
        <family val="2"/>
        <scheme val="minor"/>
      </rPr>
      <t xml:space="preserve">General Instructions for logging into Horizon View Published Applications-View.docx" </t>
    </r>
    <r>
      <rPr>
        <sz val="10"/>
        <color theme="1"/>
        <rFont val="Calibri"/>
        <family val="2"/>
        <scheme val="minor"/>
      </rPr>
      <t>to launch GIS</t>
    </r>
  </si>
  <si>
    <r>
      <t xml:space="preserve">Unhide </t>
    </r>
    <r>
      <rPr>
        <i/>
        <sz val="10"/>
        <color theme="1"/>
        <rFont val="Calibri"/>
        <family val="2"/>
        <scheme val="minor"/>
      </rPr>
      <t>PSCo Cstmr Report Level 1</t>
    </r>
    <r>
      <rPr>
        <sz val="10"/>
        <color theme="1"/>
        <rFont val="Calibri"/>
        <family val="2"/>
        <scheme val="minor"/>
      </rPr>
      <t xml:space="preserve"> tab. Use this tab to review the screens required to pass a level 1 DER application.</t>
    </r>
    <r>
      <rPr>
        <b/>
        <sz val="10"/>
        <color theme="1"/>
        <rFont val="Calibri"/>
        <family val="2"/>
        <scheme val="minor"/>
      </rPr>
      <t xml:space="preserve"> If all level 1 screens pass, move forward to voltage rise analysis.</t>
    </r>
  </si>
  <si>
    <r>
      <rPr>
        <b/>
        <sz val="10"/>
        <color theme="1"/>
        <rFont val="Calibri"/>
        <family val="2"/>
        <scheme val="minor"/>
      </rPr>
      <t>If application passes voltage rise analysis (and all level 1 screens)</t>
    </r>
    <r>
      <rPr>
        <sz val="10"/>
        <color theme="1"/>
        <rFont val="Calibri"/>
        <family val="2"/>
        <scheme val="minor"/>
      </rPr>
      <t xml:space="preserve">, click REJECT/APPROVE in Engineering Review section in </t>
    </r>
    <r>
      <rPr>
        <i/>
        <sz val="10"/>
        <color theme="1"/>
        <rFont val="Calibri"/>
        <family val="2"/>
        <scheme val="minor"/>
      </rPr>
      <t>App Management</t>
    </r>
    <r>
      <rPr>
        <sz val="10"/>
        <color theme="1"/>
        <rFont val="Calibri"/>
        <family val="2"/>
        <scheme val="minor"/>
      </rPr>
      <t xml:space="preserve"> tab, upload this verbiage in Comments section and click APPROVE:
</t>
    </r>
    <r>
      <rPr>
        <sz val="10"/>
        <color rgb="FF0070C0"/>
        <rFont val="Calibri"/>
        <family val="2"/>
        <scheme val="minor"/>
      </rPr>
      <t xml:space="preserve">
This application is conditionally approved from an Area Engineering perspective.
Review of existing utility facilities indicates voltage rise will be acceptable at POCC. If voltage levels are out of band for the inverter’s normal operating mode, the PV system may shut down or cause high voltage for this customer. 
Any modifications to Xcel Energy facilities necessary to address high voltage or other power quality issues caused by this PV system will be made at cost to the interconnecting customer.
The system is to operate at -0.98PF leading (absorbing VARs). Owner to operate and maintain the system per manufacturer guidelines. 
Witness test is waived.</t>
    </r>
  </si>
  <si>
    <t>Refresh Data and wait a minute until "running background query" disappears from bottom left corner of spreadsheet</t>
  </si>
  <si>
    <t>Download most recent Version from: https://xcelenergy.sharepoint.com/sites/SPSC111/derresources
This site can only be access via an Xcel VDI</t>
  </si>
  <si>
    <t>Verify the data in the blue cells is correct according to the rules to the right of the blue cells.</t>
  </si>
  <si>
    <t>Once mitigation is shown to be needed, redo above voltage rise analysis steps with mitigation applied.</t>
  </si>
  <si>
    <r>
      <t xml:space="preserve">Use this statement on metering approvals </t>
    </r>
    <r>
      <rPr>
        <i/>
        <sz val="10"/>
        <color theme="1"/>
        <rFont val="Calibri"/>
        <family val="2"/>
        <scheme val="minor"/>
      </rPr>
      <t>“</t>
    </r>
    <r>
      <rPr>
        <i/>
        <sz val="10"/>
        <color rgb="FF0070C0"/>
        <rFont val="Calibri"/>
        <family val="2"/>
        <scheme val="minor"/>
      </rPr>
      <t>Metering approval still stands from XX/XX/XXXX</t>
    </r>
    <r>
      <rPr>
        <i/>
        <sz val="10"/>
        <color theme="1"/>
        <rFont val="Calibri"/>
        <family val="2"/>
        <scheme val="minor"/>
      </rPr>
      <t>”</t>
    </r>
  </si>
  <si>
    <r>
      <t xml:space="preserve">Make sure you use the </t>
    </r>
    <r>
      <rPr>
        <b/>
        <sz val="10"/>
        <color theme="1"/>
        <rFont val="Calibri"/>
        <family val="2"/>
        <scheme val="minor"/>
      </rPr>
      <t>INTERNAL</t>
    </r>
    <r>
      <rPr>
        <sz val="10"/>
        <color theme="1"/>
        <rFont val="Calibri"/>
        <family val="2"/>
        <scheme val="minor"/>
      </rPr>
      <t xml:space="preserve"> attachments section--this tool should not be shared with the customer.</t>
    </r>
  </si>
  <si>
    <r>
      <rPr>
        <b/>
        <sz val="10"/>
        <color theme="1"/>
        <rFont val="Calibri"/>
        <family val="2"/>
        <scheme val="minor"/>
      </rPr>
      <t>If application requires betterment upgrades only</t>
    </r>
    <r>
      <rPr>
        <sz val="10"/>
        <color theme="1"/>
        <rFont val="Calibri"/>
        <family val="2"/>
        <scheme val="minor"/>
      </rPr>
      <t xml:space="preserve">, click REJECT/APPROVE in Engineering Review section in App Management tab, upload this verbiage in Comments section and click REJECT:
</t>
    </r>
    <r>
      <rPr>
        <sz val="10"/>
        <color rgb="FF0070C0"/>
        <rFont val="Calibri"/>
        <family val="2"/>
        <scheme val="minor"/>
      </rPr>
      <t xml:space="preserve">The current transformer and secondary layout will not be able to accommodate this solar addition. However, the existing transformer is overloaded or does not met our standard design practices, and this has initiated upgrade to the system. This application can be approved once the work is complete, which could take up to 6 months. A designer will reach out to you regarding these upgrades. </t>
    </r>
  </si>
  <si>
    <r>
      <rPr>
        <b/>
        <sz val="10"/>
        <color theme="1"/>
        <rFont val="Calibri"/>
        <family val="2"/>
        <scheme val="minor"/>
      </rPr>
      <t>If application does NOT pass voltage rise analysis</t>
    </r>
    <r>
      <rPr>
        <sz val="10"/>
        <color theme="1"/>
        <rFont val="Calibri"/>
        <family val="2"/>
        <scheme val="minor"/>
      </rPr>
      <t>, continue to Betterment upgrades section below.</t>
    </r>
  </si>
  <si>
    <r>
      <rPr>
        <b/>
        <sz val="10"/>
        <color theme="1"/>
        <rFont val="Calibri"/>
        <family val="2"/>
        <scheme val="minor"/>
      </rPr>
      <t>IDENTIFY THE REQUIRED BETTERMENT UPGRADES:</t>
    </r>
    <r>
      <rPr>
        <sz val="10"/>
        <color theme="1"/>
        <rFont val="Calibri"/>
        <family val="2"/>
        <scheme val="minor"/>
      </rPr>
      <t xml:space="preserve">
Section D-INFO1 of the overhead standards manual lists the standard sizes of overhead transformer and secondary wire.</t>
    </r>
    <r>
      <rPr>
        <b/>
        <sz val="10"/>
        <color theme="1"/>
        <rFont val="Calibri"/>
        <family val="2"/>
        <scheme val="minor"/>
      </rPr>
      <t xml:space="preserve"> In general, the two transformer sizes are 50 kVA with 1/0 AL secondary and 100 kVA with 4/0 AL secondary. </t>
    </r>
    <r>
      <rPr>
        <sz val="10"/>
        <color theme="1"/>
        <rFont val="Calibri"/>
        <family val="2"/>
        <scheme val="minor"/>
      </rPr>
      <t xml:space="preserve">
Section N-1 of the underground standards manual explains the standard secondary cable sizes. </t>
    </r>
    <r>
      <rPr>
        <b/>
        <sz val="10"/>
        <color theme="1"/>
        <rFont val="Calibri"/>
        <family val="2"/>
        <scheme val="minor"/>
      </rPr>
      <t>A pedestal is always served by 4/0 or 350 kcmil Al secondary. The standard cable from a pedestal to a customer may be 1/0, 4/0 or 350 kcmil Al,</t>
    </r>
    <r>
      <rPr>
        <sz val="10"/>
        <color theme="1"/>
        <rFont val="Calibri"/>
        <family val="2"/>
        <scheme val="minor"/>
      </rPr>
      <t xml:space="preserve"> depending on the design constraints.</t>
    </r>
  </si>
  <si>
    <t>Refer to REF-M17 for customer count guildelines.</t>
  </si>
  <si>
    <r>
      <t>Use engineering judgement. "</t>
    </r>
    <r>
      <rPr>
        <i/>
        <sz val="10"/>
        <color theme="1"/>
        <rFont val="Calibri"/>
        <family val="2"/>
        <scheme val="minor"/>
      </rPr>
      <t>XEL-GUI-Upgrading Secondary Systems for Distributed Energy Resources</t>
    </r>
    <r>
      <rPr>
        <sz val="10"/>
        <color theme="1"/>
        <rFont val="Calibri"/>
        <family val="2"/>
        <scheme val="minor"/>
      </rPr>
      <t>" is guildeine that has preferred upgrades. Some betterments may require field verification--see above for how to request this.
Typical upgrades include upgrading secondary and/or installing another service transformer.</t>
    </r>
  </si>
  <si>
    <t>Create a Service Notification in SAP for required betterment upgrades and include a GIS map where upgrade(s) should happen.</t>
  </si>
  <si>
    <r>
      <t>Refer to "</t>
    </r>
    <r>
      <rPr>
        <i/>
        <sz val="10"/>
        <color theme="1"/>
        <rFont val="Calibri"/>
        <family val="2"/>
        <scheme val="minor"/>
      </rPr>
      <t xml:space="preserve">Distribution Service Notification Process" </t>
    </r>
    <r>
      <rPr>
        <sz val="10"/>
        <color theme="1"/>
        <rFont val="Calibri"/>
        <family val="2"/>
        <scheme val="minor"/>
      </rPr>
      <t>document for step-by-step process.
TO PRINT GIS MAP TO PDF: With GIS window active, hit ctrl+P --&gt; Quick layout dialogue box pops up --&gt; choose "Ad Hoc Plot 11x17 L" from dropdown menu --&gt; hit print button --&gt; choose "file output" under printer in next dialogue box and hit "setup" --&gt; choose file location wherever you want when prompted --&gt; hit "okay"</t>
    </r>
  </si>
  <si>
    <r>
      <rPr>
        <b/>
        <sz val="10"/>
        <color theme="1"/>
        <rFont val="Calibri"/>
        <family val="2"/>
        <scheme val="minor"/>
      </rPr>
      <t>If application requires more upgrades than just betterment upgrades</t>
    </r>
    <r>
      <rPr>
        <sz val="10"/>
        <color theme="1"/>
        <rFont val="Calibri"/>
        <family val="2"/>
        <scheme val="minor"/>
      </rPr>
      <t>, continue to customer-funded upgrades section below.</t>
    </r>
  </si>
  <si>
    <r>
      <rPr>
        <b/>
        <sz val="10"/>
        <color theme="1"/>
        <rFont val="Calibri"/>
        <family val="2"/>
        <scheme val="minor"/>
      </rPr>
      <t>C</t>
    </r>
    <r>
      <rPr>
        <sz val="10"/>
        <color theme="1"/>
        <rFont val="Calibri"/>
        <family val="2"/>
        <scheme val="minor"/>
      </rPr>
      <t xml:space="preserve">lick REJECT/APPROVE in Engineering Review section in App Management tab, upload a detailed description of the required additional upgrades in Comments section, add the following verbiage also in Comments section and click REJECT:
</t>
    </r>
    <r>
      <rPr>
        <sz val="10"/>
        <color rgb="FF0070C0"/>
        <rFont val="Calibri"/>
        <family val="2"/>
        <scheme val="minor"/>
      </rPr>
      <t>"...upgrade details.....Please reach out to the Builder’s Call Line (1-800-628-2121)."</t>
    </r>
  </si>
  <si>
    <r>
      <t xml:space="preserve">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t>
    </r>
  </si>
  <si>
    <t>1</t>
  </si>
  <si>
    <t>2</t>
  </si>
  <si>
    <t>3</t>
  </si>
  <si>
    <t>4</t>
  </si>
  <si>
    <t>5</t>
  </si>
  <si>
    <t>6</t>
  </si>
  <si>
    <t>7</t>
  </si>
  <si>
    <t>8</t>
  </si>
  <si>
    <t>9</t>
  </si>
  <si>
    <t>10</t>
  </si>
  <si>
    <t>11</t>
  </si>
  <si>
    <t>12</t>
  </si>
  <si>
    <t>13</t>
  </si>
  <si>
    <t>14</t>
  </si>
  <si>
    <t>25</t>
  </si>
  <si>
    <t>26</t>
  </si>
  <si>
    <t>27</t>
  </si>
  <si>
    <t>28</t>
  </si>
  <si>
    <t>29</t>
  </si>
  <si>
    <t>30</t>
  </si>
  <si>
    <t>31</t>
  </si>
  <si>
    <t>32</t>
  </si>
  <si>
    <t>33</t>
  </si>
  <si>
    <t>34</t>
  </si>
  <si>
    <t>35</t>
  </si>
  <si>
    <t>36</t>
  </si>
  <si>
    <t>37</t>
  </si>
  <si>
    <t>38</t>
  </si>
  <si>
    <t>39</t>
  </si>
  <si>
    <t>40</t>
  </si>
  <si>
    <t>41</t>
  </si>
  <si>
    <t>There shouldn't be batteries in the level 1 reviews Ulteig does at this time.</t>
  </si>
  <si>
    <t>Choose Transformer Size in cell C20 from dropdown</t>
  </si>
  <si>
    <t>Use legacy for existing transformers and new if you're checking the impact of replacing or installing a new transformer.</t>
  </si>
  <si>
    <r>
      <rPr>
        <b/>
        <sz val="10"/>
        <color theme="1"/>
        <rFont val="Calibri"/>
        <family val="2"/>
        <scheme val="minor"/>
      </rPr>
      <t>If application passes voltage rise analysis (and all level 1 screens),</t>
    </r>
    <r>
      <rPr>
        <sz val="10"/>
        <color theme="1"/>
        <rFont val="Calibri"/>
        <family val="2"/>
        <scheme val="minor"/>
      </rPr>
      <t xml:space="preserve"> 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
</t>
    </r>
    <r>
      <rPr>
        <b/>
        <sz val="10"/>
        <color theme="1"/>
        <rFont val="Calibri"/>
        <family val="2"/>
        <scheme val="minor"/>
      </rPr>
      <t xml:space="preserve">
If application does not pass voltage rise analysis</t>
    </r>
    <r>
      <rPr>
        <sz val="10"/>
        <color theme="1"/>
        <rFont val="Calibri"/>
        <family val="2"/>
        <scheme val="minor"/>
      </rPr>
      <t>, do NOT upload the screening tool yet.</t>
    </r>
  </si>
  <si>
    <r>
      <t xml:space="preserve">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
</t>
    </r>
    <r>
      <rPr>
        <b/>
        <sz val="10"/>
        <color theme="1"/>
        <rFont val="Calibri"/>
        <family val="2"/>
        <scheme val="minor"/>
      </rPr>
      <t xml:space="preserve">If application requires more upgrades than just betterment upgrades, </t>
    </r>
    <r>
      <rPr>
        <sz val="10"/>
        <color theme="1"/>
        <rFont val="Calibri"/>
        <family val="2"/>
        <scheme val="minor"/>
      </rPr>
      <t>do NOT upload the screening tool yet.</t>
    </r>
  </si>
  <si>
    <r>
      <rPr>
        <b/>
        <sz val="10"/>
        <color theme="1"/>
        <rFont val="Calibri"/>
        <family val="2"/>
        <scheme val="minor"/>
      </rPr>
      <t xml:space="preserve">If application requires customer-funded upgrades, </t>
    </r>
    <r>
      <rPr>
        <sz val="10"/>
        <color theme="1"/>
        <rFont val="Calibri"/>
        <family val="2"/>
        <scheme val="minor"/>
      </rPr>
      <t>add description of required upgrades under the "additional construction of facilities needed" section at bottom of tab. The plant betterment service notification number should also be included in the description already.</t>
    </r>
  </si>
  <si>
    <t>23</t>
  </si>
  <si>
    <t>24</t>
  </si>
  <si>
    <t>42</t>
  </si>
  <si>
    <t>43</t>
  </si>
  <si>
    <t>In the Results box, it will separate the voltage rise throughout the secondary layout. There will be mitigation hierarchy to the right. Proceed with the hierarchy to determine whether upgrades are required.</t>
  </si>
  <si>
    <r>
      <rPr>
        <b/>
        <sz val="10"/>
        <color theme="1"/>
        <rFont val="Calibri"/>
        <family val="2"/>
        <scheme val="minor"/>
      </rPr>
      <t xml:space="preserve">If application passes voltage rise analysis (and all level 1 screens), </t>
    </r>
    <r>
      <rPr>
        <sz val="10"/>
        <color theme="1"/>
        <rFont val="Calibri"/>
        <family val="2"/>
        <scheme val="minor"/>
      </rPr>
      <t>go back to "Entry Form" tab in screening tool and select NO for "additional construction of facilities needed" at bottom of tab. Save the spreadsheet.</t>
    </r>
  </si>
  <si>
    <t>IF NOT ALREADY DONE: If Metering has already approved and no new documents have been loaded since approval, process the approval on behalf of metering as well.</t>
  </si>
  <si>
    <t>IF NOT ALREADY DONE: In Salesforce, go to the "App Management" tab and populate the "Reason Code" with Level 1. Hit Save.</t>
  </si>
  <si>
    <r>
      <rPr>
        <b/>
        <sz val="11"/>
        <color theme="1"/>
        <rFont val="Calibri"/>
        <family val="2"/>
        <scheme val="minor"/>
      </rPr>
      <t>If information required to finish the DER application review is missing or appears to be incorrect,</t>
    </r>
    <r>
      <rPr>
        <sz val="11"/>
        <color theme="1"/>
        <rFont val="Calibri"/>
        <family val="2"/>
        <scheme val="minor"/>
      </rPr>
      <t xml:space="preserve"> reach out to the Trouble department via Operations Coordinator. Send an email (kathiey.tu@xcelenergy.com) asking for the information needed for the DER application review and she will send someone to verify information in the next couple of weeks. </t>
    </r>
  </si>
  <si>
    <r>
      <rPr>
        <b/>
        <sz val="11"/>
        <color theme="1"/>
        <rFont val="Calibri"/>
        <family val="2"/>
        <scheme val="minor"/>
      </rPr>
      <t>If mapping updates are needed for GIS</t>
    </r>
    <r>
      <rPr>
        <sz val="11"/>
        <color theme="1"/>
        <rFont val="Calibri"/>
        <family val="2"/>
        <scheme val="minor"/>
      </rPr>
      <t xml:space="preserve">, refer to </t>
    </r>
    <r>
      <rPr>
        <i/>
        <sz val="11"/>
        <color theme="1"/>
        <rFont val="Calibri"/>
        <family val="2"/>
        <scheme val="minor"/>
      </rPr>
      <t xml:space="preserve">XEL-PRO-PROCESS FOR REVIEW OF LEVEL 1 DER APPLICATIONS.docx </t>
    </r>
    <r>
      <rPr>
        <sz val="11"/>
        <color theme="1"/>
        <rFont val="Calibri"/>
        <family val="2"/>
        <scheme val="minor"/>
      </rPr>
      <t>on how to submit this request in SAP.</t>
    </r>
  </si>
  <si>
    <r>
      <rPr>
        <b/>
        <sz val="10"/>
        <color theme="1"/>
        <rFont val="Calibri"/>
        <family val="2"/>
        <scheme val="minor"/>
      </rPr>
      <t xml:space="preserve">If application requires plant betterment upgrades, </t>
    </r>
    <r>
      <rPr>
        <sz val="10"/>
        <color theme="1"/>
        <rFont val="Calibri"/>
        <family val="2"/>
        <scheme val="minor"/>
      </rPr>
      <t>go back to "Entry Form" tab in screening tool and select YES for "additional construction of facilities needed" at bottom of tab. Add service notification number you created for betterment upgrades in description section.</t>
    </r>
  </si>
  <si>
    <t xml:space="preserve">For energy storage systems: the configuration being applied for shall be clearly indicated. </t>
  </si>
  <si>
    <t>Select the transformer in GIS and click the 'secondary cables' item to pull up the secondary conductor type. Length will also be listed in GIS.</t>
  </si>
  <si>
    <t>ESS?</t>
  </si>
  <si>
    <t>IA Number</t>
  </si>
  <si>
    <t>Actions to be reopened</t>
  </si>
  <si>
    <t>Battery Details</t>
  </si>
  <si>
    <t>1A Standby Energy Storage</t>
  </si>
  <si>
    <t>2C Non-Export, Net Metered</t>
  </si>
  <si>
    <t>2B Non-Export, Net Metered</t>
  </si>
  <si>
    <t>3A, 100% Renewable Export, Net Metered</t>
  </si>
  <si>
    <t>2A Standby Energy Storage, Net Metered</t>
  </si>
  <si>
    <t>3B, 100% Renewable Export, Net Metered</t>
  </si>
  <si>
    <t>1B Non-Export, Non-Net Metered</t>
  </si>
  <si>
    <t>1C Non-Export W/Gen, Non-Net Metered</t>
  </si>
  <si>
    <t>PV AC Disconnect should be visible-open and lockable and noted as such on the oneline.</t>
  </si>
  <si>
    <t>PV AC Disconnect should be depicted as 'visible-open' on the oneline.</t>
  </si>
  <si>
    <t>A protective device is required between the main service meter and the PV Production Meter.</t>
  </si>
  <si>
    <t>A protective device is required between the main service meter and the PV Production Meter. AC Disconnect needs to be fused or indicated as fusible. Please update.</t>
  </si>
  <si>
    <t>AC system size must be stated on the oneline.</t>
  </si>
  <si>
    <t>Location of AC disconnect must be shown on site plan.</t>
  </si>
  <si>
    <t>Location of Main Service Meter and PV Production Meter must be shown on site plan.</t>
  </si>
  <si>
    <t>Inverter locations must be shown on site plan. If microinverters are module integrated it should be noted as such.</t>
  </si>
  <si>
    <t>Inverter locations must be shown on site plan.</t>
  </si>
  <si>
    <t>The declaration needs to be dated and signed.</t>
  </si>
  <si>
    <t>3.0 One-Line Diagram</t>
  </si>
  <si>
    <t>Contact Info and General</t>
  </si>
  <si>
    <t xml:space="preserve">Name of Customer who owns/will own service, the Xcel Energy “customer of record” for existing services. </t>
  </si>
  <si>
    <t>3.2</t>
  </si>
  <si>
    <t xml:space="preserve">Clearly identify the Reference Point of Applicability (RPA) and denote the RPA where test and verification features will be applied in the written test procedure. </t>
  </si>
  <si>
    <t>should match open point described in testing procedure - conditional approval  if they don't match</t>
  </si>
  <si>
    <t>Electrical Component Schematic</t>
  </si>
  <si>
    <t>3.3</t>
  </si>
  <si>
    <t xml:space="preserve">Label and show the electrical layout of all equipment in-line between the main service meter and the DER system. </t>
  </si>
  <si>
    <t>3.3 - Note</t>
  </si>
  <si>
    <t xml:space="preserve"> All Dedicated Power Production Facilities require a dedicated transformer with no other associated load or DER interconnections.</t>
  </si>
  <si>
    <t xml:space="preserve">All customer equipment shall be located on the customer-side of the main service meter. </t>
  </si>
  <si>
    <t>3.4</t>
  </si>
  <si>
    <t xml:space="preserve">Main service meter and main service panel. </t>
  </si>
  <si>
    <t>3.5</t>
  </si>
  <si>
    <t xml:space="preserve">Main service protection between DER and the utility. </t>
  </si>
  <si>
    <t>3.5 - Note</t>
  </si>
  <si>
    <t>3.6</t>
  </si>
  <si>
    <t>Settings for any protective relaying external to the inverter (if applicable)</t>
  </si>
  <si>
    <t>3.7</t>
  </si>
  <si>
    <t xml:space="preserve">The main service meter voltage and number of phases. If present, any transformer winding configuration and voltages. </t>
  </si>
  <si>
    <t>3.8</t>
  </si>
  <si>
    <t>3.9</t>
  </si>
  <si>
    <t xml:space="preserve">The AC Voltage of DER System. </t>
  </si>
  <si>
    <t>Inverter or combiner voltage</t>
  </si>
  <si>
    <t>3.10</t>
  </si>
  <si>
    <t xml:space="preserve">The expected individual kW AC nameplate rating of each inverter. </t>
  </si>
  <si>
    <t>3.10 - Note</t>
  </si>
  <si>
    <t>3.11</t>
  </si>
  <si>
    <t xml:space="preserve">Phases of inverters (single or three-phase inverters). </t>
  </si>
  <si>
    <t>3.12</t>
  </si>
  <si>
    <t xml:space="preserve">Phases of DER system. </t>
  </si>
  <si>
    <t xml:space="preserve"> If a three-phase system is using single-phase inverters,
indicate the quantity of inverters per phase. </t>
  </si>
  <si>
    <t>3.13</t>
  </si>
  <si>
    <t>Clearly indicate inverter certifications</t>
  </si>
  <si>
    <t>3.15</t>
  </si>
  <si>
    <t xml:space="preserve">If used, indicate any control system, such as a power control system or plant controller. Give a functional description of the control system. </t>
  </si>
  <si>
    <t>All Tesla powerwall batteries have the functionality to charge from the grid. Therefore, the “Storage Charge Source” in Exhibit B must state that it is charged from both the Utility and Solar.</t>
  </si>
  <si>
    <t>Metering</t>
  </si>
  <si>
    <t>3.18</t>
  </si>
  <si>
    <t>3.18.1</t>
  </si>
  <si>
    <t xml:space="preserve">For single-phase installations, the meter shall be specified as 1-phase, 3-wire. </t>
  </si>
  <si>
    <t>3.18.2</t>
  </si>
  <si>
    <t xml:space="preserve">For three-phase installations, the meter shall be specified as 3-phase, 4-wire. </t>
  </si>
  <si>
    <t>3.18 - NOTE</t>
  </si>
  <si>
    <t xml:space="preserve">No loads shall be connected on the DER side of an Xcel Energy‐owned production meter. </t>
  </si>
  <si>
    <t>3.18.3</t>
  </si>
  <si>
    <t xml:space="preserve">All Area EPS Operator-owned production meters shall be installed at an Area EPS Operator standard voltage. </t>
  </si>
  <si>
    <t>All Xcel-owned production meters shall be installed at an Xcel Energy standard voltage.</t>
  </si>
  <si>
    <t>3.19</t>
  </si>
  <si>
    <t>3.19.1</t>
  </si>
  <si>
    <t xml:space="preserve">Customer owned meters shall not be located on the DER side of the Xcel Energy production meter. </t>
  </si>
  <si>
    <t>AC Disconnect</t>
  </si>
  <si>
    <t xml:space="preserve">Other AC Disconnects shall not be labeled or identified as a “Utility” AC Disconnect, if applicable. </t>
  </si>
  <si>
    <t>Remove "owned" but keep "Utility." The "utility" note is to indicate accessibility for use by the utility, not ownership.</t>
  </si>
  <si>
    <t xml:space="preserve">For installations not requiring a Production Meter, the Utility AC Disconnect shall be located between the DER and main service. </t>
  </si>
  <si>
    <t xml:space="preserve">When multiple DER units are existing or proposed on a single service: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 </t>
  </si>
  <si>
    <t>4.0 Site Plan</t>
  </si>
  <si>
    <t>4.1</t>
  </si>
  <si>
    <t xml:space="preserve">Name of Customer who owns/will own the service, the Xcel Energy “customer of record” for existing services. </t>
  </si>
  <si>
    <t>4.2</t>
  </si>
  <si>
    <t xml:space="preserve">Installation premise address. </t>
  </si>
  <si>
    <t>4.3</t>
  </si>
  <si>
    <t xml:space="preserve">Installer name &amp; contact information. </t>
  </si>
  <si>
    <t>4.4</t>
  </si>
  <si>
    <t>4.5</t>
  </si>
  <si>
    <t xml:space="preserve">Building(s) and streets shall be labelled. </t>
  </si>
  <si>
    <t xml:space="preserve">A minimum of one street should be included on the site plan, with the name, distance, and direction to the nearest cross street, if the nearest cross street is not shown. </t>
  </si>
  <si>
    <t>Need distance to nearest cross street displayed if to far to be shown in plan, Map screenshot that shows DER location and nearest cross street is acceptable</t>
  </si>
  <si>
    <t>4.6</t>
  </si>
  <si>
    <t xml:space="preserve">Compass direction (indicate North). </t>
  </si>
  <si>
    <t>4.7</t>
  </si>
  <si>
    <t>4.7.1</t>
  </si>
  <si>
    <t>4.7.2</t>
  </si>
  <si>
    <t>At a minimum between Utility AC Disconnect, Production meter, Main service protection, Main Service Meter</t>
  </si>
  <si>
    <t>4.8</t>
  </si>
  <si>
    <t xml:space="preserve">The Production Meter and AC Disconnect should be located together in a readily accessible location within 10’ of the main service meter. </t>
  </si>
  <si>
    <t>don't need to state on site plan - this is just verifying spacing</t>
  </si>
  <si>
    <t>4.9</t>
  </si>
  <si>
    <t xml:space="preserve">If DER facilities are in close proximity to overhead electric service lines, position, distance and clearance concerns in relation to facilities should be noted. All customer facilities are subject to NESC clearance requirements in relation to Xcel Energy owned facilities. </t>
  </si>
  <si>
    <t>4.11</t>
  </si>
  <si>
    <t xml:space="preserve">A separate Detail View or Plan View may be required to clearly show location of meters, main service and AC disconnect, when the site layout is unclear or illegible when printed on an 11”x17” sheet. </t>
  </si>
  <si>
    <t>3.14</t>
  </si>
  <si>
    <t>Ask David  Wynkoop lots of things going on</t>
  </si>
  <si>
    <t>Consult David Wynkoop in a scenario with multiple meters/premises</t>
  </si>
  <si>
    <t>Two different premises can not be applied for under the same application they must be split up into two different applications, or the customer must combine there meters and only have one</t>
  </si>
  <si>
    <t xml:space="preserve">When multiple billing meters/premise are present at the same address if they are on separate building structures the solar panels on the respective building must go to the respective meter. </t>
  </si>
  <si>
    <t>3.15 - Note</t>
  </si>
  <si>
    <t>3.1 - Note</t>
  </si>
  <si>
    <t>Required for all applications above 10kW DC, and should not be present if its smaller unless it is states its customer owned. If an existing system is present, the new system is treat as its own system and the old system does not play in to the DC for deciding if a PM is needed.</t>
  </si>
  <si>
    <t>Metering Action Guide</t>
  </si>
  <si>
    <t>Existing meter</t>
  </si>
  <si>
    <t>PM Req</t>
  </si>
  <si>
    <t>Net Meter Order Notes</t>
  </si>
  <si>
    <t>PM Order Notes</t>
  </si>
  <si>
    <t>Existing Inst</t>
  </si>
  <si>
    <t>PMs Needed</t>
  </si>
  <si>
    <t>2S</t>
  </si>
  <si>
    <t>2S BD ERT</t>
  </si>
  <si>
    <t>None</t>
  </si>
  <si>
    <t>Not Applicable</t>
  </si>
  <si>
    <t>2S ERT</t>
  </si>
  <si>
    <t xml:space="preserve">P </t>
  </si>
  <si>
    <t>Yes (want 2 PMs)</t>
  </si>
  <si>
    <t>P2</t>
  </si>
  <si>
    <t>2S BD</t>
  </si>
  <si>
    <t>Yes (existing)</t>
  </si>
  <si>
    <t>Yes (existing) tieing in existing and new system all under one PM</t>
  </si>
  <si>
    <t>NEX</t>
  </si>
  <si>
    <t>Notes</t>
  </si>
  <si>
    <t>Alma</t>
  </si>
  <si>
    <t>Blue River</t>
  </si>
  <si>
    <t>Breckenridge</t>
  </si>
  <si>
    <t>Climax GE</t>
  </si>
  <si>
    <t>Copper Mountain</t>
  </si>
  <si>
    <t>Dillon</t>
  </si>
  <si>
    <t>Fairplay</t>
  </si>
  <si>
    <t>Frisco</t>
  </si>
  <si>
    <t>Gateway</t>
  </si>
  <si>
    <t xml:space="preserve">Gilman </t>
  </si>
  <si>
    <t>Keystone</t>
  </si>
  <si>
    <t>Lake County</t>
  </si>
  <si>
    <t>Leadville</t>
  </si>
  <si>
    <t>Leadville North</t>
  </si>
  <si>
    <t>Minturn</t>
  </si>
  <si>
    <t>Red Cliff</t>
  </si>
  <si>
    <t>Silverthorne</t>
  </si>
  <si>
    <t xml:space="preserve">Stringtown </t>
  </si>
  <si>
    <t xml:space="preserve">Sunshine </t>
  </si>
  <si>
    <t xml:space="preserve">Twin Lakes </t>
  </si>
  <si>
    <t>Mounain region cities</t>
  </si>
  <si>
    <t>Existing Meter</t>
  </si>
  <si>
    <t xml:space="preserve">This application is conditionally approved from a metering perspective based on the submitted documents. Any installation that requires changes to the main billing metering will be required to be in in compliance with the current revision of the “Xcel Energy Standard for Electric Installation and Use” manual before the main billing meter exchange occurs. The PV system shall not be energized until the main billing meter exchange occurs and Xcel Energy will not turn your PV system on once the meter exchange has been completed. </t>
  </si>
  <si>
    <t>3.20</t>
  </si>
  <si>
    <t xml:space="preserve">For installations that require a Production Meter, the Utility AC Disconnect shall be located between the DER and production meter. </t>
  </si>
  <si>
    <t xml:space="preserve">Distance shall be noted between the equipment on the site plan. </t>
  </si>
  <si>
    <t>Net Meter Swap</t>
  </si>
  <si>
    <t>Production meter</t>
  </si>
  <si>
    <t>Production Meter</t>
  </si>
  <si>
    <t>2S AMI</t>
  </si>
  <si>
    <t xml:space="preserve">Production meter, if applicable. </t>
  </si>
  <si>
    <t>P</t>
  </si>
  <si>
    <t>2S BD Existing</t>
  </si>
  <si>
    <t>Yes (AC size&gt;10kW)</t>
  </si>
  <si>
    <t>Yes (AC size&lt;10kW)</t>
  </si>
  <si>
    <t>2S DEM ERT</t>
  </si>
  <si>
    <t>2S BRIDGE "R"</t>
  </si>
  <si>
    <t>2S BD Bridge</t>
  </si>
  <si>
    <t>2S BD Brisge, Customer on RETOU rate</t>
  </si>
  <si>
    <t>No exchange required</t>
  </si>
  <si>
    <t>2S BD Bridge, Customer on RETOU rate</t>
  </si>
  <si>
    <t>2S BRIDGE "RETOU"</t>
  </si>
  <si>
    <t>Re-Review</t>
  </si>
  <si>
    <t>5S</t>
  </si>
  <si>
    <t>5S DEM</t>
  </si>
  <si>
    <t>5S BD ERT</t>
  </si>
  <si>
    <t>5S BD  DEM ERT</t>
  </si>
  <si>
    <t>12S AMI</t>
  </si>
  <si>
    <t>12S DEM ERT</t>
  </si>
  <si>
    <t>12S</t>
  </si>
  <si>
    <t>12S or 12S DEM</t>
  </si>
  <si>
    <t>12S BD DEM ERT</t>
  </si>
  <si>
    <t>2S CL320</t>
  </si>
  <si>
    <t>2S CL320 BD DEM</t>
  </si>
  <si>
    <t>2S CL320 DEM</t>
  </si>
  <si>
    <t>2S CL320 BD</t>
  </si>
  <si>
    <t>The configuration being applied for shall be clearly indicated on the oneline (XX in this case). - Please refer to the following link as reference to what each configuration means
https://www.xcelenergy.com/staticfiles/xe-responsive/Working%20With%20Us/Renewable%20Developers/Configuration-Selection-Tool.pdf</t>
  </si>
  <si>
    <t>The 2C configuration does not allow for storage export. Exhibit D should must state "No" in the Storage Export field.</t>
  </si>
  <si>
    <t>2C is a Non-exporting storage configuration. Please correct wording on the oneline to convey this.</t>
  </si>
  <si>
    <t>ESS EXHIBIT D HELPER</t>
  </si>
  <si>
    <t>It must also be clearly shown that the DER is being interconnected on the load side of the main billing meter.</t>
  </si>
  <si>
    <t>For systems greater than 100kW ground referencing equipment shall be installed between the main service meter and production meter to provide a ground reference for the system. Please provide the following values
    - Type/winding configuration of ground referencing equipment.
    - X0 value.
    - X0/R0 ratio.
    - Neutral current rating.
    - Equipment fault withstand rating.</t>
  </si>
  <si>
    <t>Please refer to these links 
https://www.xcelenergy.com/staticfiles/xe-responsive/Archive/Updates-to-BTM-Grounding-External-20210802.pdf 
https://www.xcelenergy.com/staticfiles/xe/PDF/MN-SRC-Invertor-Based-Ground-Refrencing-Requirements-and-Sample-Calculations.pdf</t>
  </si>
  <si>
    <t>OVER 7KW AC</t>
  </si>
  <si>
    <t>3.21</t>
  </si>
  <si>
    <t>3.22</t>
  </si>
  <si>
    <t>3.23</t>
  </si>
  <si>
    <t>3.23.1</t>
  </si>
  <si>
    <t>3.23.2</t>
  </si>
  <si>
    <t>3.23.3</t>
  </si>
  <si>
    <t>3.23.4</t>
  </si>
  <si>
    <t xml:space="preserve">Address must be listed and match the online portal. </t>
  </si>
  <si>
    <t xml:space="preserve">The kW DC and kW AC nameplate ratings of each DER system. </t>
  </si>
  <si>
    <t xml:space="preserve">An ESS declaration for the correct configuration type must be uploaded. The declaration must be correctly filled out dated and signed. </t>
  </si>
  <si>
    <t xml:space="preserve">Incentive based PV addition applications cannot be combined under the same production meter. </t>
  </si>
  <si>
    <t xml:space="preserve">Production Meter polarity should be shown or note on the drawing as facing the PV, i.e. the PV production meter will be required to have the PV generation wired to the line side terminals (top of meter block). </t>
  </si>
  <si>
    <t xml:space="preserve">A note is needed stating a YELLOW PLACARD W/ BLACK LETTERING STATING "PHOTOVOLTAIC SYSTEM CONNECTED" at the main billing meter. </t>
  </si>
  <si>
    <t xml:space="preserve">If two production meters are being requested, Xcel Energy will require a letter or email from the customer of record to be added to the application documents stating they understand the need for the two production meters and that there may be additional monthly charges for the two production meters. </t>
  </si>
  <si>
    <t xml:space="preserve">A note stating "The self-contained metering will be in compliance with the July 31, 2022 revision of the Xcel Energy Standard; specifically Section 4.11, or as may be amended" or something similar must be stated on the oneline. </t>
  </si>
  <si>
    <t xml:space="preserve">A note stating "The meter socket for the PV production meter shall be marked with a stamped brass, aluminum, or stainless steel tag, indicating the address including the unit, typically “PV PROD” in accordance with the requirements for “Meter Identification” in Section 4.14.4 of the Xcel Energy Standard." or something similar must be stated on the one line. </t>
  </si>
  <si>
    <t xml:space="preserve">A note is needed stating a YELLOW PLACARD W/ BLACK LETTERING STATING "PV AC DISCONNECT" at the AC disconnect. </t>
  </si>
  <si>
    <t xml:space="preserve">If solar panels are present on multiple building structures search the ADDRESS in CRS (use the wild card "*")  to see if there are multiple premises/meters under that address. </t>
  </si>
  <si>
    <t xml:space="preserve">If the application is in the Mountain division the production meter is not allowed to be placed on the drip side of the house. A picture of the proposed location of the production meter must be uploaded into the application document. </t>
  </si>
  <si>
    <t xml:space="preserve">Protective device shall be provided immediately after the main service meter. Typical protective devices include circuit breakers and fuses. When connected behind a main service panel, the main service breaker will suffice as the protective device. </t>
  </si>
  <si>
    <t xml:space="preserve">If a meter collar is being used the manufacturer name and model number must be listed on the one line. A meter collar consent form also must be filled out and uploaded to the online portal. </t>
  </si>
  <si>
    <t xml:space="preserve">The solar charge source(s) must be selected in the online portal. </t>
  </si>
  <si>
    <t>over</t>
  </si>
  <si>
    <t>2S DEM</t>
  </si>
  <si>
    <t>2S BD DEM ERT</t>
  </si>
  <si>
    <t xml:space="preserve">Verify inverter quantity and model listed on oneline matches what is listed in the online portal. </t>
  </si>
  <si>
    <t xml:space="preserve">Verify PV modules quantity and model listed on oneline matches what is listed in the online portal. </t>
  </si>
  <si>
    <t>3.21 - NOTE</t>
  </si>
  <si>
    <t>Only required for application that have a meter collar or a production meter.</t>
  </si>
  <si>
    <t xml:space="preserve">For dedicated power production facilities: When an overhead primary service interconnection is used, the customer pole shall be no less than 25’ from the Xcel Energy meter pole. Typical acceptable distance from the Xcel Energy meter pole to the customer pole is 40’. </t>
  </si>
  <si>
    <t>4.4 - Note</t>
  </si>
  <si>
    <t>4.6.1</t>
  </si>
  <si>
    <t>This is for anything that you think would be illegible if it was print on 11"x17" sheet.</t>
  </si>
  <si>
    <t xml:space="preserve"> Breakers serving only load do not need to be shown in detail.</t>
  </si>
  <si>
    <t>For the time being this is only rejectable if there is a production meter present, because a protective device is required in between the main meter and the production meter.</t>
  </si>
  <si>
    <r>
      <t xml:space="preserve">Auto reject if loads shown between meter and inverter. 
</t>
    </r>
    <r>
      <rPr>
        <i/>
        <sz val="9"/>
        <color theme="1"/>
        <rFont val="Calibri"/>
        <family val="2"/>
        <scheme val="minor"/>
      </rPr>
      <t>Energy Storage Systems are permissible</t>
    </r>
    <r>
      <rPr>
        <sz val="9"/>
        <color theme="1"/>
        <rFont val="Calibri"/>
        <family val="2"/>
        <scheme val="minor"/>
      </rPr>
      <t>, provided they only charge from the DER, and not the grid, at any time. Indicate PV‐only charging if this is the case.</t>
    </r>
  </si>
  <si>
    <t>This is rare but if they have 2 production meters under the same application this applies. If they are applying for a new system and the old system had a production meter and this one needs one then its ok.</t>
  </si>
  <si>
    <t>Main billing meter, Production meter, PV AC Disconnect, Panels, Inverter(s).
NOTE: The main billing meter or production meter may not be located inside a house or in an enclosed structure. Special rules for buildings with meter rooms.</t>
  </si>
  <si>
    <t>AMI, no exchange required</t>
  </si>
  <si>
    <t>Existing BD, no exchange required</t>
  </si>
  <si>
    <t>CA:
-
-</t>
  </si>
  <si>
    <t>Reject:
-
-</t>
  </si>
  <si>
    <t>CA:
-If last name matches no need to comment just approve.
-For QCer if they don’t match check salesforce to make sure the correct name isn't under "Legal Entity Name"
-If it is misspelled that is only a CA.</t>
  </si>
  <si>
    <t>Reject:
-If neither names match the salesforce legal entity name and customer name
-</t>
  </si>
  <si>
    <t>Reject:
-Check premise address and customer inputted address fields in Salesforce to make sure they match. Contact Solar*Rewards if they don’t.
-If zip code is missing or completely wrong</t>
  </si>
  <si>
    <t>CA:
-If the Zip codes don’t match and are close check google to see if the take you to the same place or if Xcel records are wrong.
-</t>
  </si>
  <si>
    <t>Reject:
-If less than 20kW DC application contains a CT meter (Rather than self contained) consult David Wynkoop
-</t>
  </si>
  <si>
    <t>CA:
-Inverter quantity &amp; model are correct and inverter rating is listed
-Approve - Single inverter and it lists its rating</t>
  </si>
  <si>
    <t xml:space="preserve">CA:
-Inverter quantity &amp; model are correct and inverter rating is listed
-Approve - Single inverter and it lists its rating
-If the inverters and module seemed to be flipped or inverters are listed in both fields check salesforce the script messes up sometimes. </t>
  </si>
  <si>
    <t>Reject:
-PUT "x" IN THE SYSTEM AND APPLICATION DETAILS UNDER ACTIONS TO BE REOPENED
-</t>
  </si>
  <si>
    <t>CA:
-ONLY CA is if they show the existing size in salesforce and show it on the documents but a missing the check for existing in salesforce</t>
  </si>
  <si>
    <t>CA:
-Check the approved ESS checklist in the Training and Documents folder if you are unsure what configurations a ESS is approved for.
-</t>
  </si>
  <si>
    <t>CA:
-2B - Solar (No export)
2C - Solar, Utility (No export)
3A, 3B - Solar (Yes Export)</t>
  </si>
  <si>
    <t>Reject:
-Do not reject for 7kW AC or less
-</t>
  </si>
  <si>
    <t>Reject:
-AUTO REJECT if its missing from the one line or salesforce.
-Incentive based PV addition applications cannot be combined under the same production meter. (Typically you can tell if the old system is incentive based if they have a production meter. If the existing system doesn’t have a production meter it wasn't incentive based.)</t>
  </si>
  <si>
    <t>Mountain Division</t>
  </si>
  <si>
    <t>Reject:
-Drip side of the house is the side the roof slants towards. So if you  think of it raining it’s the side the water all runs off too. Consult David with any questions.
-</t>
  </si>
  <si>
    <t>CA:
-This is only applicable if a production meter is required.
-</t>
  </si>
  <si>
    <t>CA:
-If they are using microinverters and show the solar panels. They should NEVERR be rejected only CA or approved.
-</t>
  </si>
  <si>
    <t>Net meter swap</t>
  </si>
  <si>
    <t>Make sure this is always populated based on the existing meter. If you don’t know you can either use the meter action guide tab or the table hidden under the the meter collar table.</t>
  </si>
  <si>
    <t>Make sure this is always populated based the DC system size. Over 10 kw DC this should have a production meter based on the existing meter. If its less than 10kW DC it should say N/A.</t>
  </si>
  <si>
    <t>Application/System Details</t>
  </si>
  <si>
    <t>9S DEM</t>
  </si>
  <si>
    <t>9S DEM BRIDGE</t>
  </si>
  <si>
    <t>9S</t>
  </si>
  <si>
    <t>9S BD DEM ERT</t>
  </si>
  <si>
    <t>16S DEM ERT</t>
  </si>
  <si>
    <t>2S CL320 DEM BRIDGE "R"</t>
  </si>
  <si>
    <t>2S BD CL320 DEM Bridge</t>
  </si>
  <si>
    <t>14S DEM</t>
  </si>
  <si>
    <t>16S BD DEM ERT</t>
  </si>
  <si>
    <t>15S DEM</t>
  </si>
  <si>
    <t>16S DEM</t>
  </si>
  <si>
    <t>Reject:
-The dot convention is not an acceptable method of showing polarity
-</t>
  </si>
  <si>
    <t>System AC Output must match online portal. Online portal indicates (xx.xx)kW AC capacity and one line indicates (xx.xx)kW AC capacity.</t>
  </si>
  <si>
    <t>Inverter quantity and model must be listed on one line and must match the online portal. Inverter quantity listed in online portal (xx) does not match the inverter quantity listed on oneline (xx). Please update so they match.</t>
  </si>
  <si>
    <t>All Tesla powerwall batteries have the functionality to charge from the grid. Therefore, the “Storage Charge Source” in Exhibit B must state that it is charged from both the Utility and Solar. Online portal only indicated solar. Please correct in future applications or it may lead to rejection.</t>
  </si>
  <si>
    <t>The battery configuration on the declaration (XX) should match oneline (XX). Please update so they match.</t>
  </si>
  <si>
    <t xml:space="preserve"> The battery equipment on the declaration (XX) should match the oneline (XX). Please update so they match.</t>
  </si>
  <si>
    <t xml:space="preserve">The meter collar being used must also be listed in the online portal. </t>
  </si>
  <si>
    <t>Meter Collar Consent Form</t>
  </si>
  <si>
    <t xml:space="preserve">Main service entrance, all meter locations, disconnects, transformers, proposed and existing DER systems must be clearly labeled on the site plan. </t>
  </si>
  <si>
    <t>If the AC disconnect or production meter is not located within 10 feet, or on a different structure and not within line of site of the main service meter, please include example placard of map with production meter and Utility AC disconnect locations, noted to be placed at main meter. This must be clearly shown on the oneline, site plan or, the uploaded documents.</t>
  </si>
  <si>
    <t>The meter collar listed on the one line is a meter collar for 12S meter but our records show that the current socket on the premise is a 2S meter socket. For a approved list of meter 2S meter collars please refer to the following link:
https://www.xcelenergy.com/staticfiles/xe-responsive/Working%20With%20Us/Renewable%20Developers/PSCO%20Approved%20List%20of%20Meter%20Collar%20Adaptors.pdf</t>
  </si>
  <si>
    <t xml:space="preserve">When multiple DER units are existing or proposed on a single service: all DER systems shall be shown with proposed and existing marked. The existing system should also be noted in the online application portal. </t>
  </si>
  <si>
    <t xml:space="preserve">24/7 unescorted keyless access shall be provided to all Xcel Energy equipment, and must be noted on the site plan. </t>
  </si>
  <si>
    <t xml:space="preserve">By Xcel Standards section 4.14.1 that "All meters originally installed outdoors that, due to alterations or additions to the building, become enclosed within the building structure (e.g. enclosed patio or garage), where access through a doorway is required, shall be relocated to an outdoor location designated by the Company’s local Electric Meter Department. This location has been identified with a meter located in an enclosed area that may result in field correction notices and delays in getting the meters exchanged/set for this PV application. To begin the process to relocate the metering, contact our Builders Call Line to submit the service request.  </t>
  </si>
  <si>
    <t>Main billing meters and production meters are not allowed to be indoors in an enclosed area.</t>
  </si>
  <si>
    <t>Based on the proposed metering setup, the main billing and PV production metering will not be located within ten (10) feet of each other. Site/map placards indicating the metering locations will be required at both metering points. Sample placards will be required for review and shall be submitted with the application documents.</t>
  </si>
  <si>
    <t>Note for 3.17: If the configuration is 2B or 2C verify the “Storage Charge Source” in Exhibit D. If it just says solar it should be 2B, if it says both solar and utility it would be 2C. This is a conditional approval if they say 2C instead of 2B. If the ESS is a Tesla Powerwall, verify that the “Storage Charge Source” in Exhibit D states that it is charged from both the Utility and Solar. This is an auto-reject. Select reopen action as necessary.</t>
  </si>
  <si>
    <t>5S DEM BRIDGE</t>
  </si>
  <si>
    <t>5S BD DEM BRIDGE</t>
  </si>
  <si>
    <t>45S DEM</t>
  </si>
  <si>
    <t>45S DEM BRIDGE</t>
  </si>
  <si>
    <t>5S BD DEM ERT</t>
  </si>
  <si>
    <t xml:space="preserve">When required, a visible-open type, lockable, and readily accessible AC disconnect for purposes of isolating the DER from the utility source labeled “Utility AC Disconnect,” “Photovoltaic Utility AC Disconnect,” or similar shall be shown. </t>
  </si>
  <si>
    <t>Installations with ConnectDER meter collars will require a utility accessible and lockable AC disconnect adjacent to the main billing meter location no matter the DC system size. The AC disconnect will be required to have the yellow with black lettering “PV AC DISCONNECT” placard.</t>
  </si>
  <si>
    <t>A production meter is not required for applications with a DC system size less than 10kW. Please remove the production meter from the one line and site plan. Or if a production meter is being requested, Xcel Energy will require a letter or email from the customer of record to be added to the application documents stating they understand the need for the production meter and that there may be additional monthly charges for the production meter.</t>
  </si>
  <si>
    <t>Fused AC disconnect, Main panel breakers, Meter collar, Breaker protected combiner panels all count as protective devices.</t>
  </si>
  <si>
    <t>If the wire is shown going into the top of the meter and coming out the bottom that is acceptable.</t>
  </si>
  <si>
    <t>This can either be on the site plan or the one line. A depiction of the placard is also acceptable</t>
  </si>
  <si>
    <t>They can simply note that it’s the most current revision, or just state that its up to date with Xcel's standards. Metering is very lenient they just cant not have any mention or have an expired date.</t>
  </si>
  <si>
    <t>Metering is very lenient with this as well they can have "PV PROD" by the production meter that’s ok.</t>
  </si>
  <si>
    <t>Ensure that the Consent Form action in application portal is in the "Finalized" status. Ensure that meter collar is on the approved list found at the bottom of the spreadsheet.</t>
  </si>
  <si>
    <t>This is only required if a AC disconnect is required not just if its present. This can either be on the site plan or the one line. A depiction of the placard is also acceptable</t>
  </si>
  <si>
    <t xml:space="preserve">This one needs example placard; a note will not suffice. Required with meters/AC disconnect or on opposite sides of a building or detached structures.  Equipment that is just around the corner on the same structure would not require this. </t>
  </si>
  <si>
    <t>Address must be listed on oneline and must match online portal. Zip code in online portal (xxxxx) does not match Zip code on oneline/Siteplan (xxxxx). Please update so they match.</t>
  </si>
  <si>
    <t>Inverter quantity and model must be listed on one line and must match the online portal. Inverter model name listed in online portal (xxxx) does not match inverter model name listed on oneline (xxxx). Please update so they match.</t>
  </si>
  <si>
    <t>PV panel model name listed in online portal (xx) does not match the PV panel model name listed on oneline (xx). Please update so they match.</t>
  </si>
  <si>
    <t>Number of PV panels listed in online portal (xx) does not match the number of PV panels listed on oneline. Please update so they match.</t>
  </si>
  <si>
    <t>This system is X.XX KW DC which still requires the installation of a PV production meter. Only systems 10.0 KW DC or less are allowed to omit the PV production meter. Please revise the site plan and oneline for the addition of the PV production meter, standards references, and yellow placards with black lettering.</t>
  </si>
  <si>
    <t>Since a Powerwall+ is believe to be AC coupled with the solar facilities, a separate inverter displaying this needs to be shown on the oneline.</t>
  </si>
  <si>
    <t>Please refer to the Completeness Review Requirements document issued January 9, 2023 for future applications. Additional requirements have been added to these requirements. The updated Completeness Review Requirements document can be found here: https://www.xcelenergy.com/staticfiles/xe-responsive/Environment/Renewable%20Energy/PSC%20-%20Completeness%20Review%20Requirements%201.9.23.pdf</t>
  </si>
  <si>
    <t>DO NOT FAIL THIS CELL IT'S ONLY FOR POPULATING EXHIBIT D</t>
  </si>
  <si>
    <t>ESS</t>
  </si>
  <si>
    <t>C-DER</t>
  </si>
  <si>
    <t>T-BUS</t>
  </si>
  <si>
    <t>v3.10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</si>
</sst>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family val="2"/>
      <scheme val="minor"/>
    </font>
    <font>
      <b/>
      <sz val="11"/>
      <color theme="1"/>
      <name val="Calibri"/>
      <family val="2"/>
      <scheme val="minor"/>
    </font>
    <font>
      <sz val="9"/>
      <color theme="1"/>
      <name val="Calibri"/>
      <family val="2"/>
      <scheme val="minor"/>
    </font>
    <font>
      <b/>
      <sz val="12"/>
      <color theme="1"/>
      <name val="Calibri"/>
      <family val="2"/>
      <scheme val="minor"/>
    </font>
    <font>
      <b/>
      <sz val="11"/>
      <name val="Calibri"/>
      <family val="2"/>
      <scheme val="minor"/>
    </font>
    <font>
      <b/>
      <sz val="16"/>
      <color theme="1"/>
      <name val="Calibri"/>
      <family val="2"/>
      <scheme val="minor"/>
    </font>
    <font>
      <sz val="11"/>
      <color rgb="FF000000"/>
      <name val="Calibri"/>
      <family val="2"/>
    </font>
    <font>
      <sz val="11"/>
      <color theme="0"/>
      <name val="Calibri"/>
      <family val="2"/>
      <scheme val="minor"/>
    </font>
    <font>
      <sz val="8"/>
      <name val="Calibri"/>
      <family val="2"/>
      <scheme val="minor"/>
    </font>
    <font>
      <i/>
      <sz val="11"/>
      <color theme="1"/>
      <name val="Calibri"/>
      <family val="2"/>
      <scheme val="minor"/>
    </font>
    <font>
      <b/>
      <sz val="16"/>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sz val="10"/>
      <color rgb="FF0070C0"/>
      <name val="Calibri"/>
      <family val="2"/>
      <scheme val="minor"/>
    </font>
    <font>
      <i/>
      <sz val="10"/>
      <color rgb="FF0070C0"/>
      <name val="Calibri"/>
      <family val="2"/>
      <scheme val="minor"/>
    </font>
    <font>
      <b/>
      <sz val="9"/>
      <color theme="1"/>
      <name val="Calibri"/>
      <family val="2"/>
      <scheme val="minor"/>
    </font>
    <font>
      <sz val="11"/>
      <name val="Calibri"/>
      <family val="2"/>
      <scheme val="minor"/>
    </font>
    <font>
      <i/>
      <sz val="9"/>
      <color theme="1"/>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167">
    <xf numFmtId="0" fontId="0" fillId="0" borderId="0" xfId="0"/>
    <xf numFmtId="0" fontId="1" fillId="0" borderId="0" xfId="0" applyFont="1"/>
    <xf numFmtId="0" fontId="1" fillId="2" borderId="1" xfId="0" applyFont="1" applyFill="1" applyBorder="1"/>
    <xf numFmtId="0" fontId="0" fillId="0" borderId="0" xfId="0" applyAlignment="1">
      <alignment horizontal="center"/>
    </xf>
    <xf numFmtId="0" fontId="0" fillId="4" borderId="0" xfId="0" applyFill="1" applyAlignment="1">
      <alignment wrapText="1"/>
    </xf>
    <xf numFmtId="0" fontId="0" fillId="3" borderId="0" xfId="0" applyFill="1" applyAlignment="1">
      <alignment wrapText="1"/>
    </xf>
    <xf numFmtId="0" fontId="0" fillId="0" borderId="0" xfId="0" applyAlignment="1">
      <alignment wrapText="1"/>
    </xf>
    <xf numFmtId="0" fontId="0" fillId="0" borderId="1" xfId="0" applyBorder="1" applyAlignment="1">
      <alignment wrapText="1"/>
    </xf>
    <xf numFmtId="14" fontId="0" fillId="4" borderId="1" xfId="0" applyNumberFormat="1" applyFill="1" applyBorder="1" applyAlignment="1">
      <alignment horizontal="left"/>
    </xf>
    <xf numFmtId="0" fontId="1" fillId="2" borderId="2" xfId="0" applyFont="1" applyFill="1" applyBorder="1" applyAlignment="1">
      <alignment horizontal="center"/>
    </xf>
    <xf numFmtId="0" fontId="0" fillId="3" borderId="8" xfId="0" applyFill="1" applyBorder="1"/>
    <xf numFmtId="14" fontId="0" fillId="3" borderId="9" xfId="0" applyNumberFormat="1" applyFill="1" applyBorder="1"/>
    <xf numFmtId="0" fontId="0" fillId="0" borderId="10" xfId="0" applyBorder="1"/>
    <xf numFmtId="0" fontId="1" fillId="4" borderId="11" xfId="0" applyFont="1" applyFill="1" applyBorder="1" applyAlignment="1">
      <alignment horizontal="center" vertical="center"/>
    </xf>
    <xf numFmtId="14" fontId="1" fillId="3" borderId="9" xfId="0" applyNumberFormat="1" applyFont="1" applyFill="1" applyBorder="1" applyAlignment="1">
      <alignment horizontal="center" vertical="center"/>
    </xf>
    <xf numFmtId="0" fontId="0" fillId="4" borderId="1" xfId="0" applyFill="1" applyBorder="1" applyAlignment="1">
      <alignment horizontal="center" wrapText="1"/>
    </xf>
    <xf numFmtId="49" fontId="4" fillId="0" borderId="1" xfId="0" applyNumberFormat="1" applyFont="1" applyBorder="1" applyAlignment="1">
      <alignment horizontal="center" vertical="center" wrapText="1"/>
    </xf>
    <xf numFmtId="49" fontId="4" fillId="0" borderId="5" xfId="0" applyNumberFormat="1" applyFont="1" applyBorder="1" applyAlignment="1">
      <alignment horizontal="center" vertical="center" wrapText="1"/>
    </xf>
    <xf numFmtId="49" fontId="1" fillId="0" borderId="1" xfId="0" applyNumberFormat="1" applyFont="1" applyBorder="1" applyAlignment="1">
      <alignment horizontal="center" vertical="center" wrapText="1"/>
    </xf>
    <xf numFmtId="0" fontId="0" fillId="3" borderId="1" xfId="0" applyFill="1" applyBorder="1" applyAlignment="1">
      <alignment horizontal="center" wrapText="1"/>
    </xf>
    <xf numFmtId="0" fontId="0" fillId="3" borderId="1" xfId="0" applyFill="1" applyBorder="1" applyAlignment="1">
      <alignment wrapText="1"/>
    </xf>
    <xf numFmtId="0" fontId="5" fillId="5" borderId="0" xfId="0" applyFont="1" applyFill="1" applyAlignment="1">
      <alignment horizontal="center" vertical="center" wrapText="1"/>
    </xf>
    <xf numFmtId="14" fontId="0" fillId="7" borderId="0" xfId="0" applyNumberFormat="1" applyFill="1" applyAlignment="1">
      <alignment horizontal="left"/>
    </xf>
    <xf numFmtId="0" fontId="0" fillId="7" borderId="0" xfId="0" applyFill="1" applyAlignment="1">
      <alignment horizontal="center"/>
    </xf>
    <xf numFmtId="0" fontId="1" fillId="2" borderId="1" xfId="0" quotePrefix="1" applyFont="1" applyFill="1" applyBorder="1" applyAlignment="1">
      <alignment horizontal="left"/>
    </xf>
    <xf numFmtId="0" fontId="0" fillId="7" borderId="0" xfId="0" applyFill="1" applyAlignment="1">
      <alignment wrapText="1"/>
    </xf>
    <xf numFmtId="0" fontId="7" fillId="0" borderId="0" xfId="0" applyFont="1" applyAlignment="1">
      <alignment horizontal="center"/>
    </xf>
    <xf numFmtId="49" fontId="1" fillId="2" borderId="1" xfId="0" quotePrefix="1" applyNumberFormat="1" applyFont="1" applyFill="1" applyBorder="1" applyAlignment="1">
      <alignment horizontal="left" vertical="center"/>
    </xf>
    <xf numFmtId="0" fontId="1" fillId="2" borderId="1" xfId="0" applyFont="1" applyFill="1" applyBorder="1" applyAlignment="1">
      <alignment horizontal="left" vertical="center"/>
    </xf>
    <xf numFmtId="0" fontId="11" fillId="0" borderId="1" xfId="0" applyFont="1" applyBorder="1" applyAlignment="1">
      <alignment horizontal="center" vertical="center" wrapText="1"/>
    </xf>
    <xf numFmtId="0" fontId="11" fillId="0" borderId="1" xfId="0" applyFont="1" applyBorder="1" applyAlignment="1">
      <alignment horizontal="center" vertical="center"/>
    </xf>
    <xf numFmtId="0" fontId="11" fillId="0" borderId="15" xfId="0" applyFont="1" applyBorder="1" applyAlignment="1">
      <alignment horizontal="center" vertical="center" wrapText="1"/>
    </xf>
    <xf numFmtId="0" fontId="11" fillId="0" borderId="7" xfId="0" applyFont="1" applyBorder="1" applyAlignment="1">
      <alignment horizontal="center" vertical="center" wrapText="1"/>
    </xf>
    <xf numFmtId="0" fontId="1" fillId="0" borderId="1" xfId="0" applyFont="1" applyBorder="1" applyAlignment="1">
      <alignment horizontal="center" vertical="center"/>
    </xf>
    <xf numFmtId="0" fontId="2" fillId="0" borderId="1" xfId="0" applyFont="1" applyBorder="1" applyAlignment="1">
      <alignment horizontal="center" vertical="center" wrapText="1"/>
    </xf>
    <xf numFmtId="0" fontId="1" fillId="2" borderId="11" xfId="0" applyFont="1" applyFill="1" applyBorder="1" applyAlignment="1">
      <alignment horizontal="center"/>
    </xf>
    <xf numFmtId="49" fontId="4" fillId="0" borderId="15" xfId="0" applyNumberFormat="1" applyFont="1" applyBorder="1" applyAlignment="1">
      <alignment horizontal="center" vertical="center" wrapText="1"/>
    </xf>
    <xf numFmtId="14" fontId="0" fillId="4" borderId="1" xfId="0" applyNumberFormat="1" applyFill="1" applyBorder="1" applyAlignment="1">
      <alignment horizontal="left" vertical="center"/>
    </xf>
    <xf numFmtId="14" fontId="0" fillId="0" borderId="0" xfId="0" applyNumberFormat="1" applyAlignment="1">
      <alignment horizontal="left"/>
    </xf>
    <xf numFmtId="0" fontId="0" fillId="4" borderId="1" xfId="0" applyFill="1" applyBorder="1" applyAlignment="1">
      <alignment horizontal="center" vertical="center" wrapText="1"/>
    </xf>
    <xf numFmtId="0" fontId="0" fillId="0" borderId="1" xfId="0" applyBorder="1" applyAlignment="1">
      <alignment horizontal="center" wrapText="1"/>
    </xf>
    <xf numFmtId="0" fontId="0" fillId="8" borderId="12" xfId="0" applyFill="1" applyBorder="1" applyAlignment="1">
      <alignment horizontal="center" wrapText="1"/>
    </xf>
    <xf numFmtId="0" fontId="0" fillId="8" borderId="13" xfId="0" applyFill="1" applyBorder="1" applyAlignment="1">
      <alignment horizontal="center" wrapText="1"/>
    </xf>
    <xf numFmtId="0" fontId="0" fillId="8" borderId="13" xfId="0" applyFill="1" applyBorder="1" applyAlignment="1">
      <alignment wrapText="1"/>
    </xf>
    <xf numFmtId="0" fontId="0" fillId="8" borderId="14" xfId="0" applyFill="1" applyBorder="1" applyAlignment="1">
      <alignment horizontal="center" wrapText="1"/>
    </xf>
    <xf numFmtId="0" fontId="0" fillId="8" borderId="16" xfId="0" applyFill="1" applyBorder="1" applyAlignment="1">
      <alignment horizontal="center" wrapText="1"/>
    </xf>
    <xf numFmtId="0" fontId="0" fillId="8" borderId="18" xfId="0" applyFill="1" applyBorder="1" applyAlignment="1">
      <alignment horizontal="center" wrapText="1"/>
    </xf>
    <xf numFmtId="0" fontId="0" fillId="8" borderId="18" xfId="0" applyFill="1" applyBorder="1" applyAlignment="1">
      <alignment wrapText="1"/>
    </xf>
    <xf numFmtId="0" fontId="0" fillId="8" borderId="17" xfId="0" applyFill="1" applyBorder="1" applyAlignment="1">
      <alignment horizontal="center" wrapText="1"/>
    </xf>
    <xf numFmtId="0" fontId="0" fillId="4" borderId="15" xfId="0" applyFill="1" applyBorder="1" applyAlignment="1">
      <alignment horizontal="center" vertical="center" wrapText="1"/>
    </xf>
    <xf numFmtId="0" fontId="0" fillId="0" borderId="15" xfId="0" applyBorder="1" applyAlignment="1">
      <alignment wrapText="1"/>
    </xf>
    <xf numFmtId="0" fontId="0" fillId="3" borderId="15" xfId="0" applyFill="1" applyBorder="1" applyAlignment="1">
      <alignment wrapText="1"/>
    </xf>
    <xf numFmtId="0" fontId="0" fillId="3" borderId="15" xfId="0" applyFill="1" applyBorder="1" applyAlignment="1">
      <alignment horizontal="center" wrapText="1"/>
    </xf>
    <xf numFmtId="0" fontId="0" fillId="0" borderId="0" xfId="0" applyAlignment="1">
      <alignment vertical="center"/>
    </xf>
    <xf numFmtId="0" fontId="0" fillId="0" borderId="1" xfId="0" applyBorder="1" applyAlignment="1">
      <alignment vertical="center"/>
    </xf>
    <xf numFmtId="0" fontId="0" fillId="6" borderId="0" xfId="0" applyFill="1" applyAlignment="1">
      <alignment horizontal="left"/>
    </xf>
    <xf numFmtId="0" fontId="7" fillId="0" borderId="0" xfId="0" applyFont="1"/>
    <xf numFmtId="0" fontId="0" fillId="4" borderId="1" xfId="0" applyFill="1" applyBorder="1" applyAlignment="1">
      <alignment horizontal="center"/>
    </xf>
    <xf numFmtId="0" fontId="1" fillId="0" borderId="10" xfId="0" applyFont="1" applyBorder="1"/>
    <xf numFmtId="0" fontId="2" fillId="9" borderId="1" xfId="0" applyFont="1" applyFill="1" applyBorder="1" applyAlignment="1">
      <alignment horizontal="center" vertical="center" wrapText="1"/>
    </xf>
    <xf numFmtId="0" fontId="17" fillId="4" borderId="1" xfId="0" applyFont="1" applyFill="1" applyBorder="1" applyAlignment="1">
      <alignment horizontal="center" wrapText="1"/>
    </xf>
    <xf numFmtId="49" fontId="1" fillId="0" borderId="5" xfId="0" applyNumberFormat="1" applyFont="1" applyBorder="1" applyAlignment="1">
      <alignment horizontal="center" vertical="center" wrapText="1"/>
    </xf>
    <xf numFmtId="49" fontId="1" fillId="0" borderId="11" xfId="0" applyNumberFormat="1" applyFont="1" applyBorder="1" applyAlignment="1">
      <alignment horizontal="center" vertical="center" wrapText="1"/>
    </xf>
    <xf numFmtId="0" fontId="0" fillId="4" borderId="11" xfId="0" applyFill="1" applyBorder="1" applyAlignment="1">
      <alignment horizontal="center" wrapText="1"/>
    </xf>
    <xf numFmtId="0" fontId="0" fillId="0" borderId="11" xfId="0" applyBorder="1" applyAlignment="1">
      <alignment wrapText="1"/>
    </xf>
    <xf numFmtId="49" fontId="1" fillId="0" borderId="1" xfId="0" applyNumberFormat="1" applyFont="1" applyBorder="1" applyAlignment="1">
      <alignment horizontal="center" wrapText="1"/>
    </xf>
    <xf numFmtId="49" fontId="16" fillId="0" borderId="1" xfId="0" applyNumberFormat="1" applyFont="1" applyBorder="1" applyAlignment="1">
      <alignment horizontal="center" vertical="center" wrapText="1"/>
    </xf>
    <xf numFmtId="0" fontId="0" fillId="0" borderId="14" xfId="0" applyBorder="1"/>
    <xf numFmtId="0" fontId="1" fillId="0" borderId="1" xfId="0" applyFont="1" applyBorder="1" applyAlignment="1">
      <alignment horizontal="center" wrapText="1"/>
    </xf>
    <xf numFmtId="0" fontId="2" fillId="0" borderId="1" xfId="0" applyFont="1" applyBorder="1" applyAlignment="1">
      <alignment vertical="center" wrapText="1"/>
    </xf>
    <xf numFmtId="0" fontId="0" fillId="12" borderId="1" xfId="0" applyFill="1" applyBorder="1"/>
    <xf numFmtId="0" fontId="0" fillId="11" borderId="1" xfId="0" applyFill="1" applyBorder="1"/>
    <xf numFmtId="0" fontId="0" fillId="0" borderId="11" xfId="0" applyBorder="1"/>
    <xf numFmtId="0" fontId="0" fillId="0" borderId="13" xfId="0" applyBorder="1"/>
    <xf numFmtId="0" fontId="0" fillId="0" borderId="12" xfId="0" applyBorder="1"/>
    <xf numFmtId="0" fontId="0" fillId="0" borderId="19" xfId="0" applyBorder="1"/>
    <xf numFmtId="0" fontId="0" fillId="0" borderId="24" xfId="0" applyBorder="1"/>
    <xf numFmtId="0" fontId="0" fillId="0" borderId="25" xfId="0" applyBorder="1"/>
    <xf numFmtId="0" fontId="0" fillId="0" borderId="15" xfId="0" applyBorder="1"/>
    <xf numFmtId="0" fontId="0" fillId="0" borderId="18" xfId="0" applyBorder="1"/>
    <xf numFmtId="0" fontId="0" fillId="0" borderId="16" xfId="0" applyBorder="1"/>
    <xf numFmtId="0" fontId="0" fillId="0" borderId="17" xfId="0" applyBorder="1"/>
    <xf numFmtId="0" fontId="0" fillId="13" borderId="1" xfId="0" applyFill="1" applyBorder="1"/>
    <xf numFmtId="0" fontId="0" fillId="14" borderId="0" xfId="0" applyFill="1"/>
    <xf numFmtId="0" fontId="0" fillId="15" borderId="0" xfId="0" applyFill="1"/>
    <xf numFmtId="0" fontId="2" fillId="13" borderId="1" xfId="0" applyFont="1" applyFill="1" applyBorder="1" applyAlignment="1">
      <alignment horizontal="center" vertical="center" wrapText="1"/>
    </xf>
    <xf numFmtId="0" fontId="0" fillId="13" borderId="1" xfId="0" applyFill="1" applyBorder="1" applyAlignment="1">
      <alignment horizontal="center" wrapText="1"/>
    </xf>
    <xf numFmtId="0" fontId="0" fillId="0" borderId="0" xfId="0" applyAlignment="1">
      <alignment horizontal="center" wrapText="1"/>
    </xf>
    <xf numFmtId="0" fontId="0" fillId="0" borderId="25" xfId="0" quotePrefix="1" applyBorder="1"/>
    <xf numFmtId="0" fontId="1" fillId="2" borderId="1" xfId="0" applyFont="1" applyFill="1" applyBorder="1" applyAlignment="1">
      <alignment wrapText="1"/>
    </xf>
    <xf numFmtId="0" fontId="0" fillId="0" borderId="1" xfId="0" applyBorder="1"/>
    <xf numFmtId="2" fontId="1" fillId="2" borderId="1" xfId="0" applyNumberFormat="1" applyFont="1" applyFill="1" applyBorder="1" applyAlignment="1">
      <alignment wrapText="1"/>
    </xf>
    <xf numFmtId="164" fontId="1" fillId="2" borderId="1" xfId="0" applyNumberFormat="1" applyFont="1" applyFill="1" applyBorder="1" applyAlignment="1">
      <alignment wrapText="1"/>
    </xf>
    <xf numFmtId="0" fontId="0" fillId="3" borderId="0" xfId="0" applyFill="1" applyAlignment="1">
      <alignment horizontal="center" wrapText="1"/>
    </xf>
    <xf numFmtId="0" fontId="0" fillId="3" borderId="8" xfId="0" applyFill="1" applyBorder="1" applyAlignment="1">
      <alignment horizontal="center"/>
    </xf>
    <xf numFmtId="14" fontId="0" fillId="3" borderId="9" xfId="0" applyNumberFormat="1" applyFill="1" applyBorder="1" applyAlignment="1">
      <alignment horizontal="center"/>
    </xf>
    <xf numFmtId="0" fontId="17" fillId="0" borderId="0" xfId="0" applyFont="1"/>
    <xf numFmtId="0" fontId="17" fillId="0" borderId="0" xfId="0" applyFont="1" applyAlignment="1">
      <alignment wrapText="1"/>
    </xf>
    <xf numFmtId="0" fontId="17" fillId="0" borderId="0" xfId="0" applyFont="1" applyAlignment="1">
      <alignment horizontal="center"/>
    </xf>
    <xf numFmtId="0" fontId="0" fillId="17" borderId="1" xfId="0" applyFill="1" applyBorder="1" applyAlignment="1">
      <alignment wrapText="1"/>
    </xf>
    <xf numFmtId="0" fontId="0" fillId="10" borderId="1" xfId="0" applyFill="1" applyBorder="1" applyAlignment="1">
      <alignment wrapText="1"/>
    </xf>
    <xf numFmtId="0" fontId="7" fillId="0" borderId="0" xfId="0" applyFont="1" applyAlignment="1">
      <alignment wrapText="1"/>
    </xf>
    <xf numFmtId="0" fontId="0" fillId="0" borderId="1" xfId="0" applyBorder="1" applyAlignment="1">
      <alignment horizontal="center" vertical="center" wrapText="1"/>
    </xf>
    <xf numFmtId="0" fontId="1" fillId="2" borderId="1" xfId="0" applyFont="1" applyFill="1" applyBorder="1" applyAlignment="1">
      <alignment horizontal="center"/>
    </xf>
    <xf numFmtId="0" fontId="7" fillId="0" borderId="0" xfId="0" applyFont="1" applyAlignment="1">
      <alignment horizontal="center" wrapText="1"/>
    </xf>
    <xf numFmtId="0" fontId="2" fillId="0" borderId="1" xfId="0" applyFont="1" applyBorder="1" applyAlignment="1">
      <alignment horizontal="center" vertical="center" wrapText="1"/>
    </xf>
    <xf numFmtId="0" fontId="0" fillId="0" borderId="6" xfId="0" applyBorder="1"/>
    <xf numFmtId="49" fontId="16" fillId="2" borderId="5" xfId="0" applyNumberFormat="1" applyFont="1" applyFill="1" applyBorder="1" applyAlignment="1">
      <alignment horizontal="center" vertical="center" wrapText="1"/>
    </xf>
    <xf numFmtId="49" fontId="16" fillId="2" borderId="7" xfId="0" applyNumberFormat="1" applyFont="1" applyFill="1" applyBorder="1" applyAlignment="1">
      <alignment horizontal="center" vertical="center" wrapText="1"/>
    </xf>
    <xf numFmtId="49" fontId="16" fillId="2" borderId="6" xfId="0" applyNumberFormat="1" applyFont="1" applyFill="1" applyBorder="1" applyAlignment="1">
      <alignment horizontal="center" vertical="center" wrapText="1"/>
    </xf>
    <xf numFmtId="49" fontId="16" fillId="2" borderId="1" xfId="0" applyNumberFormat="1" applyFont="1" applyFill="1" applyBorder="1" applyAlignment="1">
      <alignment horizontal="center" vertical="center" wrapText="1"/>
    </xf>
    <xf numFmtId="0" fontId="0" fillId="2" borderId="1" xfId="0" applyFill="1" applyBorder="1" applyAlignment="1">
      <alignment horizontal="center" wrapText="1"/>
    </xf>
    <xf numFmtId="0" fontId="0" fillId="0" borderId="7" xfId="0" applyBorder="1"/>
    <xf numFmtId="0" fontId="2" fillId="10" borderId="1" xfId="0" applyFont="1" applyFill="1" applyBorder="1" applyAlignment="1">
      <alignment horizontal="center" vertical="center" wrapText="1"/>
    </xf>
    <xf numFmtId="0" fontId="0" fillId="10" borderId="6" xfId="0" applyFill="1" applyBorder="1"/>
    <xf numFmtId="0" fontId="2" fillId="16" borderId="1" xfId="0" applyFont="1" applyFill="1" applyBorder="1" applyAlignment="1">
      <alignment horizontal="center" vertical="center" wrapText="1"/>
    </xf>
    <xf numFmtId="0" fontId="0" fillId="16" borderId="6" xfId="0" applyFill="1" applyBorder="1"/>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10" borderId="5" xfId="0" applyFont="1" applyFill="1" applyBorder="1" applyAlignment="1">
      <alignment horizontal="center" vertical="center" wrapText="1"/>
    </xf>
    <xf numFmtId="0" fontId="2" fillId="10" borderId="6" xfId="0" applyFont="1" applyFill="1" applyBorder="1" applyAlignment="1">
      <alignment horizontal="center" vertical="center" wrapText="1"/>
    </xf>
    <xf numFmtId="0" fontId="0" fillId="10" borderId="6" xfId="0" applyFill="1" applyBorder="1" applyAlignment="1">
      <alignment wrapText="1"/>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11" xfId="0" applyFont="1" applyFill="1" applyBorder="1" applyAlignment="1">
      <alignment horizontal="center"/>
    </xf>
    <xf numFmtId="0" fontId="0" fillId="0" borderId="14" xfId="0" applyBorder="1"/>
    <xf numFmtId="49" fontId="3" fillId="2" borderId="20" xfId="0" applyNumberFormat="1" applyFont="1" applyFill="1" applyBorder="1" applyAlignment="1">
      <alignment horizontal="center" vertical="center" wrapText="1"/>
    </xf>
    <xf numFmtId="0" fontId="0" fillId="0" borderId="3" xfId="0" applyBorder="1"/>
    <xf numFmtId="0" fontId="0" fillId="0" borderId="4" xfId="0" applyBorder="1"/>
    <xf numFmtId="49" fontId="16" fillId="2" borderId="0" xfId="0" applyNumberFormat="1" applyFont="1" applyFill="1" applyAlignment="1">
      <alignment horizontal="center" vertical="center" wrapText="1"/>
    </xf>
    <xf numFmtId="0" fontId="0" fillId="0" borderId="0" xfId="0" applyAlignment="1">
      <alignment wrapText="1"/>
    </xf>
    <xf numFmtId="0" fontId="17" fillId="2" borderId="6" xfId="0" applyFont="1" applyFill="1" applyBorder="1" applyAlignment="1">
      <alignment horizontal="center" vertical="center" wrapText="1"/>
    </xf>
    <xf numFmtId="0" fontId="1" fillId="2" borderId="1" xfId="0" applyFont="1" applyFill="1" applyBorder="1" applyAlignment="1">
      <alignment horizontal="center"/>
    </xf>
    <xf numFmtId="0" fontId="17" fillId="2" borderId="21" xfId="0" applyFont="1" applyFill="1" applyBorder="1" applyAlignment="1">
      <alignment horizontal="center" vertical="center" wrapText="1"/>
    </xf>
    <xf numFmtId="0" fontId="0" fillId="0" borderId="22" xfId="0" applyBorder="1"/>
    <xf numFmtId="0" fontId="0" fillId="0" borderId="23" xfId="0" applyBorder="1"/>
    <xf numFmtId="0" fontId="1" fillId="2" borderId="5" xfId="0" applyFont="1" applyFill="1" applyBorder="1" applyAlignment="1">
      <alignment horizontal="center"/>
    </xf>
    <xf numFmtId="0" fontId="1" fillId="2" borderId="6" xfId="0" applyFont="1" applyFill="1" applyBorder="1" applyAlignment="1">
      <alignment horizontal="center"/>
    </xf>
    <xf numFmtId="0" fontId="1" fillId="2" borderId="5" xfId="0" applyFont="1" applyFill="1" applyBorder="1" applyAlignment="1">
      <alignment horizontal="center" wrapText="1"/>
    </xf>
    <xf numFmtId="0" fontId="1" fillId="2" borderId="6" xfId="0" applyFont="1" applyFill="1" applyBorder="1" applyAlignment="1">
      <alignment horizontal="center" wrapText="1"/>
    </xf>
    <xf numFmtId="0" fontId="1" fillId="3" borderId="1" xfId="0" applyFont="1" applyFill="1" applyBorder="1" applyAlignment="1">
      <alignment horizontal="center"/>
    </xf>
    <xf numFmtId="49" fontId="3" fillId="2" borderId="1" xfId="0" applyNumberFormat="1" applyFont="1" applyFill="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49" fontId="10" fillId="8" borderId="5" xfId="0" applyNumberFormat="1" applyFont="1" applyFill="1" applyBorder="1" applyAlignment="1">
      <alignment horizontal="center" vertical="center" wrapText="1"/>
    </xf>
    <xf numFmtId="49" fontId="10" fillId="8" borderId="7" xfId="0" applyNumberFormat="1" applyFont="1" applyFill="1" applyBorder="1" applyAlignment="1">
      <alignment horizontal="center" vertical="center" wrapText="1"/>
    </xf>
    <xf numFmtId="49" fontId="10" fillId="8" borderId="6" xfId="0" applyNumberFormat="1" applyFont="1" applyFill="1" applyBorder="1" applyAlignment="1">
      <alignment horizontal="center" vertical="center" wrapText="1"/>
    </xf>
    <xf numFmtId="49" fontId="4" fillId="0" borderId="11" xfId="0" applyNumberFormat="1" applyFont="1" applyBorder="1" applyAlignment="1">
      <alignment horizontal="center" vertical="center" wrapText="1"/>
    </xf>
    <xf numFmtId="49" fontId="4" fillId="0" borderId="15" xfId="0" applyNumberFormat="1" applyFont="1" applyBorder="1" applyAlignment="1">
      <alignment horizontal="center" vertical="center" wrapText="1"/>
    </xf>
    <xf numFmtId="0" fontId="11" fillId="0" borderId="1" xfId="0" applyFont="1" applyBorder="1" applyAlignment="1">
      <alignment horizontal="left" vertical="center" wrapText="1"/>
    </xf>
    <xf numFmtId="49" fontId="4" fillId="8" borderId="5" xfId="0" applyNumberFormat="1" applyFont="1" applyFill="1" applyBorder="1" applyAlignment="1">
      <alignment horizontal="center" vertical="center" wrapText="1"/>
    </xf>
    <xf numFmtId="49" fontId="4" fillId="8" borderId="7" xfId="0" applyNumberFormat="1" applyFont="1" applyFill="1" applyBorder="1" applyAlignment="1">
      <alignment horizontal="center" vertical="center" wrapText="1"/>
    </xf>
    <xf numFmtId="49" fontId="4" fillId="8" borderId="6" xfId="0" applyNumberFormat="1" applyFont="1" applyFill="1" applyBorder="1" applyAlignment="1">
      <alignment horizontal="center" vertical="center" wrapText="1"/>
    </xf>
    <xf numFmtId="0" fontId="11" fillId="0" borderId="12" xfId="0" applyFont="1" applyBorder="1" applyAlignment="1">
      <alignment horizontal="left" vertical="center" wrapText="1"/>
    </xf>
    <xf numFmtId="0" fontId="11" fillId="0" borderId="14" xfId="0" applyFont="1" applyBorder="1" applyAlignment="1">
      <alignment horizontal="left" vertical="center" wrapText="1"/>
    </xf>
    <xf numFmtId="0" fontId="11" fillId="0" borderId="16" xfId="0" applyFont="1" applyBorder="1" applyAlignment="1">
      <alignment horizontal="left" vertical="center" wrapText="1"/>
    </xf>
    <xf numFmtId="0" fontId="11" fillId="0" borderId="17" xfId="0" applyFont="1" applyBorder="1" applyAlignment="1">
      <alignment horizontal="left" vertical="center" wrapText="1"/>
    </xf>
    <xf numFmtId="0" fontId="11" fillId="0" borderId="11" xfId="0" applyFont="1" applyBorder="1" applyAlignment="1">
      <alignment horizontal="center" vertical="center" wrapText="1"/>
    </xf>
    <xf numFmtId="0" fontId="11" fillId="0" borderId="19" xfId="0" applyFont="1" applyBorder="1" applyAlignment="1">
      <alignment horizontal="center" vertical="center" wrapText="1"/>
    </xf>
    <xf numFmtId="0" fontId="1" fillId="2" borderId="5"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0" fillId="2" borderId="0" xfId="0" applyFill="1" applyAlignment="1">
      <alignment horizontal="left" wrapText="1"/>
    </xf>
    <xf numFmtId="0" fontId="5" fillId="5" borderId="0" xfId="0" applyFont="1" applyFill="1" applyAlignment="1">
      <alignment horizontal="center" vertical="center" wrapText="1"/>
    </xf>
    <xf numFmtId="0" fontId="0" fillId="2" borderId="0" xfId="0" applyFill="1" applyAlignment="1">
      <alignment horizontal="left" vertical="center" wrapText="1"/>
    </xf>
    <xf numFmtId="0" fontId="0" fillId="11" borderId="16" xfId="0" applyFill="1" applyBorder="1" applyAlignment="1">
      <alignment horizontal="center"/>
    </xf>
    <xf numFmtId="0" fontId="0" fillId="11" borderId="18" xfId="0" applyFill="1" applyBorder="1" applyAlignment="1">
      <alignment horizontal="center"/>
    </xf>
  </cellXfs>
  <cellStyles count="1">
    <cellStyle name="Normal" xfId="0" builtinId="0"/>
  </cellStyles>
  <dxfs count="5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ill>
        <patternFill>
          <bgColor theme="0" tint="-0.34998626667073579"/>
        </patternFill>
      </fill>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xdr:row>
          <xdr:rowOff>47625</xdr:rowOff>
        </xdr:from>
        <xdr:to>
          <xdr:col>7</xdr:col>
          <xdr:colOff>2743200</xdr:colOff>
          <xdr:row>4</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Highlighted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219075</xdr:colOff>
          <xdr:row>94</xdr:row>
          <xdr:rowOff>19050</xdr:rowOff>
        </xdr:from>
        <xdr:to>
          <xdr:col>7</xdr:col>
          <xdr:colOff>3105150</xdr:colOff>
          <xdr:row>98</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and move to ready to QC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xdr:row>
          <xdr:rowOff>161925</xdr:rowOff>
        </xdr:from>
        <xdr:to>
          <xdr:col>10</xdr:col>
          <xdr:colOff>323850</xdr:colOff>
          <xdr:row>6</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and move to Appr/Rej Folder</a:t>
              </a:r>
            </a:p>
          </xdr:txBody>
        </xdr:sp>
        <xdr:clientData fPrintsWithSheet="0"/>
      </xdr:twoCellAnchor>
    </mc:Choice>
    <mc:Fallback/>
  </mc:AlternateContent>
  <xdr:twoCellAnchor editAs="oneCell">
    <xdr:from>
      <xdr:col>1</xdr:col>
      <xdr:colOff>19048</xdr:colOff>
      <xdr:row>94</xdr:row>
      <xdr:rowOff>14286</xdr:rowOff>
    </xdr:from>
    <xdr:to>
      <xdr:col>3</xdr:col>
      <xdr:colOff>3861482</xdr:colOff>
      <xdr:row>120</xdr:row>
      <xdr:rowOff>108549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23923" y="32742186"/>
          <a:ext cx="7900084" cy="5761638"/>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9525</xdr:colOff>
          <xdr:row>0</xdr:row>
          <xdr:rowOff>57150</xdr:rowOff>
        </xdr:from>
        <xdr:to>
          <xdr:col>10</xdr:col>
          <xdr:colOff>323850</xdr:colOff>
          <xdr:row>2</xdr:row>
          <xdr:rowOff>85725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100</xdr:row>
          <xdr:rowOff>9525</xdr:rowOff>
        </xdr:from>
        <xdr:to>
          <xdr:col>7</xdr:col>
          <xdr:colOff>2895600</xdr:colOff>
          <xdr:row>103</xdr:row>
          <xdr:rowOff>142875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this to be shamed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5</xdr:row>
          <xdr:rowOff>180975</xdr:rowOff>
        </xdr:from>
        <xdr:to>
          <xdr:col>3</xdr:col>
          <xdr:colOff>2362200</xdr:colOff>
          <xdr:row>8</xdr:row>
          <xdr:rowOff>66675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Pull Meter Info and Reviewer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7</xdr:row>
          <xdr:rowOff>47625</xdr:rowOff>
        </xdr:from>
        <xdr:to>
          <xdr:col>7</xdr:col>
          <xdr:colOff>3209925</xdr:colOff>
          <xdr:row>8</xdr:row>
          <xdr:rowOff>133350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this after entering meter collar info</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se Coelho Neto" id="{EAFFD690-62BB-4DE2-9952-F0AFCA41B01B}" userId="S::jose.coelhoneto@ulteig.com::693873f6-94f5-4c20-a555-85d10354957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3" dT="2023-01-25T20:58:08.73" personId="{EAFFD690-62BB-4DE2-9952-F0AFCA41B01B}" id="{FF6ACE2B-659C-48C8-AA14-6706054D520F}">
    <text>-If last name matches no need to comment just approve.
-For QCer if they don’t match check salesforce to make sure the correct name isn't under "Legal Entity Name"</text>
  </threadedComment>
  <threadedComment ref="D13" dT="2023-01-25T20:58:34.73" personId="{EAFFD690-62BB-4DE2-9952-F0AFCA41B01B}" id="{424541CD-A154-4C34-9A01-3DBD842F8B59}" parentId="{FF6ACE2B-659C-48C8-AA14-6706054D520F}">
    <text>If it is misspelled that is only a CA.</text>
  </threadedComment>
  <threadedComment ref="D14" dT="2022-11-30T22:57:15.70" personId="{EAFFD690-62BB-4DE2-9952-F0AFCA41B01B}" id="{E26BFD79-9D5A-4C11-8BA9-A2930629A539}">
    <text>Check premise address and customer inputted address fields in Salesforce to make sure they match. Contact Solar*Rewards if they don’t.</text>
  </threadedComment>
  <threadedComment ref="D14" dT="2023-01-25T20:55:19.02" personId="{EAFFD690-62BB-4DE2-9952-F0AFCA41B01B}" id="{49553983-A865-4FED-A8B4-9A14D83D4CE1}" parentId="{E26BFD79-9D5A-4C11-8BA9-A2930629A539}">
    <text>If the Zip codes don’t match check google to see if the take you to the same place or if Xcel records are wrong.</text>
  </threadedComment>
  <threadedComment ref="D21" dT="2023-01-25T21:37:55.17" personId="{EAFFD690-62BB-4DE2-9952-F0AFCA41B01B}" id="{0F4C9EDD-0EDF-4AA4-9A9A-D1E6F8D01BD8}">
    <text>If less than 20kW DC application contains a CT meter (Rather than self contained) consult David Wynkoop</text>
  </threadedComment>
  <threadedComment ref="D27" dT="2022-11-30T21:17:28.58" personId="{EAFFD690-62BB-4DE2-9952-F0AFCA41B01B}" id="{88D1BA36-77C5-4530-8E87-671C0C6D5ED5}">
    <text>CA - Inverter quantity &amp; model are correct and inverter rating is listed 
Approve - Single inverter and it lists its rating</text>
  </threadedComment>
  <threadedComment ref="D27" dT="2022-11-30T21:18:29.36" personId="{EAFFD690-62BB-4DE2-9952-F0AFCA41B01B}" id="{1AC08D4B-3F15-4523-9315-15EF967E7846}" parentId="{88D1BA36-77C5-4530-8E87-671C0C6D5ED5}">
    <text>Do not reject for 7kW AC or less</text>
  </threadedComment>
  <threadedComment ref="D30" dT="2023-01-25T21:04:49.97" personId="{EAFFD690-62BB-4DE2-9952-F0AFCA41B01B}" id="{41045712-A4BC-4568-BFCB-9AB2B4A2F00C}">
    <text>Does not need to be exact just has to get the point that they are using the inverter that is in Salesforce.</text>
  </threadedComment>
  <threadedComment ref="D30" dT="2023-01-25T21:34:42.52" personId="{EAFFD690-62BB-4DE2-9952-F0AFCA41B01B}" id="{2632EBE0-A9E8-45EA-8D84-3D680C1EEB8E}" parentId="{41045712-A4BC-4568-BFCB-9AB2B4A2F00C}">
    <text xml:space="preserve">If the inverters and module seemed to be flipped or inverters are listed in both fields check salesforce the script messes up sometimes. </text>
  </threadedComment>
  <threadedComment ref="D30" dT="2023-01-25T22:18:29.54" personId="{EAFFD690-62BB-4DE2-9952-F0AFCA41B01B}" id="{4A99CC7C-91CE-4CC3-A0CE-E1E7692B8450}" parentId="{41045712-A4BC-4568-BFCB-9AB2B4A2F00C}">
    <text>PUT "x" IN THE SYSTEM AND APPLICATION DETAILS UNDER ACTIONS TO BE REOPENED</text>
  </threadedComment>
  <threadedComment ref="D31" dT="2023-01-25T21:05:07.76" personId="{EAFFD690-62BB-4DE2-9952-F0AFCA41B01B}" id="{8CF46388-E41F-4E9C-83F3-FEAB8F648390}">
    <text>Does not need to be exact just has to get the point that they are using the PV module that is in Salesforce.</text>
  </threadedComment>
  <threadedComment ref="D31" dT="2023-01-25T21:34:57.33" personId="{EAFFD690-62BB-4DE2-9952-F0AFCA41B01B}" id="{9A24D369-F402-4079-9408-500BD60CF370}" parentId="{8CF46388-E41F-4E9C-83F3-FEAB8F648390}">
    <text>If the inverters and module seemed to be flipped or inverters are listed in both fields check salesforce the script messes up sometimes.</text>
  </threadedComment>
  <threadedComment ref="D31" dT="2023-01-25T22:18:54.01" personId="{EAFFD690-62BB-4DE2-9952-F0AFCA41B01B}" id="{BB85D4F8-52B6-4C8F-BDD6-6972B2DC054E}" parentId="{8CF46388-E41F-4E9C-83F3-FEAB8F648390}">
    <text>PUT "x" IN THE SYSTEM AND APPLICATION DETAILS UNDER ACTIONS TO BE REOPENED</text>
  </threadedComment>
  <threadedComment ref="D35" dT="2023-02-02T16:43:49.00" personId="{EAFFD690-62BB-4DE2-9952-F0AFCA41B01B}" id="{A7ABFA50-6722-4A27-9E50-FB9EDF0FDB92}">
    <text>--AUTO REJECT if its missing from the one line or salesforce.
--ONLY CA is if they show the existing size in salesforce and show it on the documents but a missing the check for existing in salesforce</text>
  </threadedComment>
  <threadedComment ref="D36" dT="2023-01-25T21:12:20.09" personId="{EAFFD690-62BB-4DE2-9952-F0AFCA41B01B}" id="{2F955E47-11D9-40D6-B496-A4BA01CD5240}">
    <text>Check the approved ESS checklist in the Training and Documents folder if you are unsure.</text>
  </threadedComment>
  <threadedComment ref="D37" dT="2023-01-25T21:11:37.85" personId="{EAFFD690-62BB-4DE2-9952-F0AFCA41B01B}" id="{40F5C670-6699-48CB-9CEE-2451B1827357}">
    <text>2B - Solar (No export)
2C - Solar, Utility (No export)
3A, 3B - Solar (Yes Export)</text>
  </threadedComment>
  <threadedComment ref="D41" dT="2023-01-25T21:13:35.20" personId="{EAFFD690-62BB-4DE2-9952-F0AFCA41B01B}" id="{B66D766A-5EC0-417E-82C1-B0D57B99D247}">
    <text>Typically you can tell if the old system is incentive based if they have a production meter. If the existing system doesn’t have a production meter it wasn't incentive based.</text>
  </threadedComment>
  <threadedComment ref="D79" dT="2022-11-30T22:53:26.29" personId="{EAFFD690-62BB-4DE2-9952-F0AFCA41B01B}" id="{B3284D25-0B9F-4C14-9286-4EAEE5E14801}">
    <text>Drip side of the house is the side the roof slants towards. So if you  think of it raining it’s the side the water all runs off too. Consult David with any questions.</text>
  </threadedComment>
  <threadedComment ref="D79" dT="2023-01-25T20:35:51.54" personId="{EAFFD690-62BB-4DE2-9952-F0AFCA41B01B}" id="{761E2923-4697-4B80-9A7D-9C0D250F4D32}" parentId="{B3284D25-0B9F-4C14-9286-4EAEE5E14801}">
    <text>This is only applicable if a production meter is required.</text>
  </threadedComment>
  <threadedComment ref="D82" dT="2023-01-25T20:53:14.63" personId="{EAFFD690-62BB-4DE2-9952-F0AFCA41B01B}" id="{A090E16A-081D-44B8-9EC6-DEBBAE6F7DDC}">
    <text>If they are using microinverters and show the solar panels. The should never be rejected only CA or approved.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62096-C85F-467D-8993-FA99DAB1666F}">
  <sheetPr codeName="Sheet2"/>
  <dimension ref="A1:K309"/>
  <sheetViews>
    <sheetView tabSelected="1" zoomScaleNormal="100" workbookViewId="0">
      <selection activeCell="E13" sqref="E13"/>
    </sheetView>
  </sheetViews>
  <sheetFormatPr defaultColWidth="9.140625" defaultRowHeight="15" x14ac:dyDescent="0.25"/>
  <cols>
    <col min="1" max="1" width="13.5703125" customWidth="1"/>
    <col min="2" max="2" width="14.5703125" style="6" customWidth="1"/>
    <col min="3" max="3" width="46.28515625" style="3" customWidth="1"/>
    <col min="4" max="4" width="58.140625" style="3" customWidth="1"/>
    <col min="5" max="5" width="6.85546875" style="3" customWidth="1"/>
    <col min="6" max="6" width="8.42578125" style="3" bestFit="1" customWidth="1"/>
    <col min="7" max="7" width="6.85546875" style="3" customWidth="1"/>
    <col min="8" max="8" width="49.140625" style="6" customWidth="1"/>
    <col min="9" max="9" width="17.85546875" customWidth="1"/>
    <col min="10" max="10" width="12.42578125" style="3" customWidth="1"/>
    <col min="11" max="11" width="120.140625" customWidth="1"/>
  </cols>
  <sheetData>
    <row r="1" spans="1:11" ht="30" x14ac:dyDescent="0.25">
      <c r="A1" s="137" t="s">
        <v>139</v>
      </c>
      <c r="B1" s="138"/>
      <c r="C1" s="24"/>
      <c r="D1" s="4" t="s">
        <v>7</v>
      </c>
      <c r="F1" s="3" t="s">
        <v>452</v>
      </c>
      <c r="H1" s="21" t="s">
        <v>333</v>
      </c>
      <c r="I1" s="56"/>
      <c r="J1" s="26" t="str">
        <f>IF(C2="Joe Nogo","JN",IF(C2="Nick C","NC",IF(C2="Jose CN","JCN",IF(C2="Ross K","RK",IF(OR(C2="Josh G",C2="Josh Guck"),"JG",IF(C2="Ethan U","EU",IF(C2="Josh B","JB",IF(C2="Adan A","AA",IF(C2="Abby M","AM",IF(C2="Jason H","JH",IF(C2="Ed S","ES",IF(C2="Andre B","AB",IF(C2="Andrew N","AN",IF(C2="Caleb S","CS",IF(C2="Anna R","AR","")))))))))))))))</f>
        <v/>
      </c>
      <c r="K1" s="56" t="str">
        <f>IF(C2="Joe Nogo","C:\Users\joe.nogosek\AppData\Local\Programs\Python\Python39\python.exe",IF(C2="Nick C","C:\Users\nick.catalano\AppData\Local\Programs\Python\Python310\python.exe",IF(C2="Jose CN","C:\Users\jose.coelhoneto\AppData\Local\Programs\Python\Python39\python.exe",IF(C2="Ross K","C:\Python37\python.exe",IF(OR(C2="Josh G",C2="Josh Guck"),"C:\Users\josh.guck\AppData\Local\Programs\Python\Python310\python.exe",IF(C2="Ethan U","C:\Users\ethan.unruh\AppData\Local\Programs\Python\Python310\python.exe",""))))))</f>
        <v/>
      </c>
    </row>
    <row r="2" spans="1:11" x14ac:dyDescent="0.25">
      <c r="A2" s="137" t="s">
        <v>9</v>
      </c>
      <c r="B2" s="138" t="s">
        <v>9</v>
      </c>
      <c r="C2" s="2"/>
      <c r="D2" s="5" t="s">
        <v>8</v>
      </c>
      <c r="I2" s="56"/>
    </row>
    <row r="3" spans="1:11" x14ac:dyDescent="0.25">
      <c r="A3" s="137" t="s">
        <v>291</v>
      </c>
      <c r="B3" s="138" t="s">
        <v>0</v>
      </c>
      <c r="C3" s="8"/>
      <c r="D3" s="22" t="s">
        <v>18</v>
      </c>
      <c r="E3" s="23"/>
      <c r="F3" s="23"/>
      <c r="G3" s="23"/>
      <c r="H3" s="25"/>
      <c r="I3" s="56"/>
    </row>
    <row r="4" spans="1:11" x14ac:dyDescent="0.25">
      <c r="A4" s="137" t="s">
        <v>138</v>
      </c>
      <c r="B4" s="138"/>
      <c r="C4" s="8" t="s">
        <v>4</v>
      </c>
      <c r="D4" s="22"/>
      <c r="E4" s="23"/>
      <c r="F4" s="23"/>
      <c r="G4" s="23"/>
      <c r="H4" s="25"/>
      <c r="I4" s="56"/>
    </row>
    <row r="5" spans="1:11" x14ac:dyDescent="0.25">
      <c r="A5" s="139" t="s">
        <v>12</v>
      </c>
      <c r="B5" s="140"/>
      <c r="C5" s="8" t="str">
        <f>IF(C1="","",IF(NOT(OR(COUNTA(E12:E92))),"",IF(OR(COUNTIF(F12:F92,"x")&gt;0,COUNTIF(F12:F92,"X")&gt;0),"Rejected",IF(NOT(OR(COUNTA(F12:F92))),"Approved","CA"))))</f>
        <v/>
      </c>
      <c r="D5" s="55" t="e" cm="1">
        <f t="array" ref="D5">_xlfn.IFS(C5="Approved","Completeness Review - Approved"&amp;CHAR(10)&amp;CHAR(10)&amp;K45&amp;IF(K45&lt;&gt;"",CHAR(10),"")&amp;CHAR(10)&amp;"",OR(C5="CA",C5="Conditionally Approved"),"Completeness Review - Approved with the following condition(s):"&amp;CHAR(10)&amp;CHAR(10)&amp;K12&amp;IF(K12&lt;&gt;"",CHAR(10),"")&amp;K13&amp;IF(K13&lt;&gt;"",CHAR(10),"")&amp;K14&amp;IF(K14&lt;&gt;"",CHAR(10),"")&amp;K15&amp;IF(K15&lt;&gt;"",CHAR(10),"")&amp;K16&amp;IF(K16&lt;&gt;"",CHAR(10),"")&amp;K17&amp;IF(K17&lt;&gt;"",CHAR(10),"")&amp;K18&amp;IF(K18&lt;&gt;"",CHAR(10),"")&amp;K19&amp;IF(K19&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32&amp;IF(K32&lt;&gt;"",CHAR(10),"")&amp;K33&amp;IF(K33&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48&amp;IF(K48&lt;&gt;"",CHAR(10),"")&amp;K49&amp;IF(K49&lt;&gt;"",CHAR(10),"")&amp;K50&amp;IF(K50&lt;&gt;"",CHAR(10),"")&amp;K51&amp;IF(K51&lt;&gt;"",CHAR(10),"")&amp;K52&amp;IF(K52&lt;&gt;"",CHAR(10),"")&amp;K53&amp;IF(K53&lt;&gt;"",CHAR(10),"")&amp;K54&amp;IF(K54&lt;&gt;"",CHAR(10),"")&amp;K55&amp;IF(K55&lt;&gt;"",CHAR(10),"")&amp;K56&amp;IF(K56&lt;&gt;"",CHAR(10),"")&amp;K57&amp;IF(K57&lt;&gt;"",CHAR(10),"")&amp;K58&amp;IF(K58&lt;&gt;"",CHAR(10),"")&amp;K59&amp;IF(K59&lt;&gt;"",CHAR(10),"")&amp;K61&amp;IF(K61&lt;&gt;"",CHAR(10),"")&amp;K62&amp;IF(K62&lt;&gt;"",CHAR(10),"")&amp;K63&amp;IF(K63&lt;&gt;"",CHAR(10),"")&amp;K64&amp;IF(K64&lt;&gt;"",CHAR(10),"")&amp;K65&amp;IF(K65&lt;&gt;"",CHAR(10),"")&amp;K66&amp;IF(K66&lt;&gt;"",CHAR(10),"")&amp;K67&amp;IF(K67&lt;&gt;"",CHAR(10),"")&amp;K68&amp;IF(K68&lt;&gt;"",CHAR(10),"")&amp;IF(K12="",K69&amp;IF(K69&lt;&gt;"",CHAR(10),""),IF(K69="","",""&amp;CHAR(10)&amp;K69&amp;CHAR(10)))&amp;K70&amp;IF(K70&lt;&gt;"",CHAR(10),"")&amp;K71&amp;IF(K71&lt;&gt;"",CHAR(10),"")&amp;K72&amp;IF(K72&lt;&gt;"",CHAR(10),"")&amp;K73&amp;IF(K73&lt;&gt;"",CHAR(10),"")&amp;K74&amp;IF(K74&lt;&gt;"",CHAR(10),"")&amp;K75&amp;IF(K75&lt;&gt;"",CHAR(10),"")&amp;K76&amp;IF(K76&lt;&gt;"",CHAR(10),"")&amp;K77&amp;IF(K77&lt;&gt;"",CHAR(10),"")&amp;K78&amp;IF(K78&lt;&gt;"",CHAR(10),"")&amp;K79&amp;IF(K79&lt;&gt;"",CHAR(10),"")&amp;K80&amp;IF(K80&lt;&gt;"",CHAR(10),"")&amp;K81&amp;IF(K81&lt;&gt;"",CHAR(10),"")&amp;K82&amp;IF(K82&lt;&gt;"",CHAR(10),"")&amp;K83&amp;IF(K83&lt;&gt;"",CHAR(10),"")&amp;K84&amp;IF(K84&lt;&gt;"",CHAR(10),"")&amp;K85&amp;IF(K85&lt;&gt;"",CHAR(10),"")&amp;K86&amp;IF(K86&lt;&gt;"",CHAR(10),"")&amp;K87&amp;IF(K87&lt;&gt;"",CHAR(10),"")&amp;K88&amp;IF(K88&lt;&gt;"",CHAR(10),"")&amp;K89&amp;IF(K89&lt;&gt;"",CHAR(10),"")&amp;K90&amp;IF(K90&lt;&gt;"",CHAR(10),"")&amp;CHAR(10)&amp;K45&amp;IF(K45&lt;&gt;"",CHAR(10),"")&amp;CHAR(10)&amp;K60&amp;IF(K60&lt;&gt;"",CHAR(10),"")&amp;CHAR(10)&amp;"",C5="Rejected","This application has been rejected. Please correct the following before resubmitting: "&amp;CHAR(10)&amp;CHAR(10)&amp;K12&amp;IF(K12&lt;&gt;"",CHAR(10),"")&amp;K13&amp;IF(K13&lt;&gt;"",CHAR(10),"")&amp;K14&amp;IF(K14&lt;&gt;"",CHAR(10),"")&amp;K15&amp;IF(K15&lt;&gt;"",CHAR(10),"")&amp;K16&amp;IF(K16&lt;&gt;"",CHAR(10),"")&amp;K17&amp;IF(K17&lt;&gt;"",CHAR(10),"")&amp;K18&amp;IF(K18&lt;&gt;"",CHAR(10),"")&amp;K19&amp;IF(K19&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32&amp;IF(K32&lt;&gt;"",CHAR(10),"")&amp;K33&amp;IF(K33&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48&amp;IF(K48&lt;&gt;"",CHAR(10),"")&amp;K49&amp;IF(K49&lt;&gt;"",CHAR(10),"")&amp;K50&amp;IF(K50&lt;&gt;"",CHAR(10),"")&amp;K51&amp;IF(K51&lt;&gt;"",CHAR(10),"")&amp;K52&amp;IF(K52&lt;&gt;"",CHAR(10),"")&amp;K53&amp;IF(K53&lt;&gt;"",CHAR(10),"")&amp;K54&amp;IF(K54&lt;&gt;"",CHAR(10),"")&amp;K55&amp;IF(K55&lt;&gt;"",CHAR(10),"")&amp;K56&amp;IF(K56&lt;&gt;"",CHAR(10),"")&amp;K57&amp;IF(K57&lt;&gt;"",CHAR(10),"")&amp;K58&amp;IF(K58&lt;&gt;"",CHAR(10),"")&amp;K59&amp;IF(K59&lt;&gt;"",CHAR(10),"")&amp;K61&amp;IF(K61&lt;&gt;"",CHAR(10),"")&amp;K62&amp;IF(K62&lt;&gt;"",CHAR(10),"")&amp;K63&amp;IF(K63&lt;&gt;"",CHAR(10),"")&amp;K64&amp;IF(K64&lt;&gt;"",CHAR(10),"")&amp;K65&amp;IF(K65&lt;&gt;"",CHAR(10),"")&amp;K66&amp;IF(K66&lt;&gt;"",CHAR(10),"")&amp;K67&amp;IF(K67&lt;&gt;"",CHAR(10),"")&amp;K68&amp;IF(K68&lt;&gt;"",CHAR(10),"")&amp;IF(K12="",K69&amp;IF(K69&lt;&gt;"",CHAR(10),""),IF(K69="","",""&amp;CHAR(10)&amp;K69&amp;CHAR(10)))&amp;K70&amp;IF(K70&lt;&gt;"",CHAR(10),"")&amp;K71&amp;IF(K71&lt;&gt;"",CHAR(10),"")&amp;K72&amp;IF(K72&lt;&gt;"",CHAR(10),"")&amp;K73&amp;IF(K73&lt;&gt;"",CHAR(10),"")&amp;K74&amp;IF(K74&lt;&gt;"",CHAR(10),"")&amp;K75&amp;IF(K75&lt;&gt;"",CHAR(10),"")&amp;K76&amp;IF(K76&lt;&gt;"",CHAR(10),"")&amp;K77&amp;IF(K77&lt;&gt;"",CHAR(10),"")&amp;K78&amp;IF(K78&lt;&gt;"",CHAR(10),"")&amp;K79&amp;IF(K79&lt;&gt;"",CHAR(10),"")&amp;K80&amp;IF(K80&lt;&gt;"",CHAR(10),"")&amp;K81&amp;IF(K81&lt;&gt;"",CHAR(10),"")&amp;K82&amp;IF(K82&lt;&gt;"",CHAR(10),"")&amp;K83&amp;IF(K83&lt;&gt;"",CHAR(10),"")&amp;K84&amp;IF(K84&lt;&gt;"",CHAR(10),"")&amp;K85&amp;IF(K85&lt;&gt;"",CHAR(10),"")&amp;K86&amp;IF(K86&lt;&gt;"",CHAR(10),"")&amp;K87&amp;IF(K87&lt;&gt;"",CHAR(10),"")&amp;K88&amp;IF(K88&lt;&gt;"",CHAR(10),"")&amp;K89&amp;IF(K89&lt;&gt;"",CHAR(10),"")&amp;K90&amp;IF(K90&lt;&gt;"",CHAR(10),"")&amp;CHAR(10)&amp;CHAR(10)&amp;K60&amp;IF(K60&lt;&gt;"",CHAR(10),"")&amp;CHAR(10)&amp;"")</f>
        <v>#N/A</v>
      </c>
      <c r="I5" s="56"/>
    </row>
    <row r="6" spans="1:11" x14ac:dyDescent="0.25">
      <c r="A6" s="141" t="s">
        <v>140</v>
      </c>
      <c r="B6" s="141"/>
      <c r="C6" s="141"/>
      <c r="G6" s="103" t="s">
        <v>450</v>
      </c>
      <c r="H6" s="57"/>
      <c r="I6" s="56"/>
    </row>
    <row r="7" spans="1:11" ht="15.75" thickBot="1" x14ac:dyDescent="0.3">
      <c r="A7" s="133" t="s">
        <v>396</v>
      </c>
      <c r="B7" s="133"/>
      <c r="C7" s="57" t="str">
        <f>IF(OR(COUNTIF(F30,"x")&gt;0,COUNTIF(F31,"x")&gt;0,COUNTIF(F35,"x")&gt;0,COUNTIF(F30,"CA")&gt;0,COUNTIF(F31,"CA")&gt;0,COUNTIF(F35,"CA")&gt;0),"x","")</f>
        <v/>
      </c>
      <c r="F7" s="26" t="str">
        <f>IFERROR(LEFT(D38,FIND("~",SUBSTITUTE(D38,":","~",1))-2),"")</f>
        <v/>
      </c>
      <c r="G7" s="103" t="s">
        <v>451</v>
      </c>
      <c r="H7" s="57"/>
      <c r="I7" s="56" t="s">
        <v>356</v>
      </c>
    </row>
    <row r="8" spans="1:11" ht="15.75" thickBot="1" x14ac:dyDescent="0.3">
      <c r="A8" s="133" t="s">
        <v>415</v>
      </c>
      <c r="B8" s="133"/>
      <c r="C8" s="57"/>
      <c r="D8" s="1"/>
      <c r="E8" s="1"/>
      <c r="F8" s="56" t="str">
        <f>IFERROR(RIGHT(D38,LEN(D38)-FIND("~",SUBSTITUTE(D38,":","~",1))-1),"")</f>
        <v/>
      </c>
      <c r="G8" s="1"/>
      <c r="H8" s="58"/>
      <c r="I8" s="9" t="s">
        <v>1</v>
      </c>
      <c r="J8" s="94"/>
      <c r="K8" s="6" t="str">
        <f>IF(AND(C5="Rejected",OR(COUNTIF(F13:F67,"x")&gt;0,COUNTIF(F13:F67,"CA")&gt;0)),"One-Line","")</f>
        <v/>
      </c>
    </row>
    <row r="9" spans="1:11" s="1" customFormat="1" ht="15.75" thickBot="1" x14ac:dyDescent="0.3">
      <c r="A9" s="133" t="s">
        <v>141</v>
      </c>
      <c r="B9" s="133"/>
      <c r="C9" s="57"/>
      <c r="D9"/>
      <c r="E9" s="122" t="s">
        <v>11</v>
      </c>
      <c r="F9" s="123"/>
      <c r="G9" s="124"/>
      <c r="H9" s="12"/>
      <c r="I9" s="9" t="s">
        <v>2</v>
      </c>
      <c r="J9" s="95"/>
      <c r="K9" t="str">
        <f>IF(AND(C5="Rejected",OR(COUNTIF(F70:F90,"x")&gt;0,COUNTIF(F70:F90,"CA")&gt;0)),"Site Plan","")</f>
        <v/>
      </c>
    </row>
    <row r="10" spans="1:11" ht="15.75" customHeight="1" thickBot="1" x14ac:dyDescent="0.3">
      <c r="A10" s="35" t="s">
        <v>10</v>
      </c>
      <c r="B10" s="125" t="s">
        <v>6</v>
      </c>
      <c r="C10" s="126"/>
      <c r="D10" s="35" t="s">
        <v>15</v>
      </c>
      <c r="E10" s="13" t="s">
        <v>3</v>
      </c>
      <c r="F10" s="13" t="s">
        <v>4</v>
      </c>
      <c r="G10" s="13" t="s">
        <v>5</v>
      </c>
      <c r="H10" s="13" t="s">
        <v>16</v>
      </c>
      <c r="I10" s="14" t="s">
        <v>13</v>
      </c>
      <c r="J10" s="14" t="s">
        <v>14</v>
      </c>
    </row>
    <row r="11" spans="1:11" ht="16.5" customHeight="1" thickBot="1" x14ac:dyDescent="0.3">
      <c r="A11" s="127" t="s">
        <v>160</v>
      </c>
      <c r="B11" s="128"/>
      <c r="C11" s="128"/>
      <c r="D11" s="128"/>
      <c r="E11" s="128"/>
      <c r="F11" s="128"/>
      <c r="G11" s="128"/>
      <c r="H11" s="128"/>
      <c r="I11" s="128"/>
      <c r="J11" s="129"/>
    </row>
    <row r="12" spans="1:11" x14ac:dyDescent="0.25">
      <c r="A12" s="130" t="s">
        <v>161</v>
      </c>
      <c r="B12" s="131"/>
      <c r="C12" s="134"/>
      <c r="D12" s="135"/>
      <c r="E12" s="135"/>
      <c r="F12" s="135"/>
      <c r="G12" s="135"/>
      <c r="H12" s="135"/>
      <c r="I12" s="135"/>
      <c r="J12" s="136"/>
      <c r="K12" t="str">
        <f>IF(OR(COUNTIF(F13:F67,"x")&gt;0,COUNTIF(F13:F67,"CA")&gt;0),"One-Line:","")</f>
        <v/>
      </c>
    </row>
    <row r="13" spans="1:11" ht="31.5" customHeight="1" x14ac:dyDescent="0.25">
      <c r="A13" s="16">
        <v>3.1</v>
      </c>
      <c r="B13" s="113" t="s">
        <v>162</v>
      </c>
      <c r="C13" s="114"/>
      <c r="D13" s="59"/>
      <c r="E13" s="60" t="str">
        <f>IF(AND(F13="",G13=""),"x","")</f>
        <v>x</v>
      </c>
      <c r="F13" s="15"/>
      <c r="G13" s="15"/>
      <c r="H13" s="7" t="str">
        <f>IF(F13&lt;&gt;"","Name on oneline does not match the customer name listed on application portal. Please update so they match.","")</f>
        <v/>
      </c>
      <c r="I13" s="19"/>
      <c r="J13" s="19"/>
      <c r="K13" t="str">
        <f t="shared" ref="K13:K68" si="0">IF(F13&lt;&gt;"",A13&amp;" - "&amp;B13&amp;H13,"")</f>
        <v/>
      </c>
    </row>
    <row r="14" spans="1:11" ht="52.5" customHeight="1" x14ac:dyDescent="0.25">
      <c r="A14" s="16" t="s">
        <v>248</v>
      </c>
      <c r="B14" s="113" t="s">
        <v>341</v>
      </c>
      <c r="C14" s="114"/>
      <c r="D14" s="59"/>
      <c r="E14" s="60" t="str">
        <f t="shared" ref="E14:E15" si="1">IF(AND(F14="",G14=""),"x","")</f>
        <v>x</v>
      </c>
      <c r="F14" s="15"/>
      <c r="G14" s="15"/>
      <c r="H14" s="7"/>
      <c r="I14" s="19"/>
      <c r="J14" s="19"/>
      <c r="K14" t="str">
        <f t="shared" si="0"/>
        <v/>
      </c>
    </row>
    <row r="15" spans="1:11" ht="39" customHeight="1" x14ac:dyDescent="0.25">
      <c r="A15" s="16" t="s">
        <v>163</v>
      </c>
      <c r="B15" s="115" t="s">
        <v>164</v>
      </c>
      <c r="C15" s="116"/>
      <c r="D15" s="34" t="s">
        <v>165</v>
      </c>
      <c r="E15" s="60" t="str">
        <f t="shared" si="1"/>
        <v>x</v>
      </c>
      <c r="F15" s="15"/>
      <c r="G15" s="15"/>
      <c r="H15"/>
      <c r="I15" s="20"/>
      <c r="J15" s="19"/>
      <c r="K15" t="str">
        <f t="shared" si="0"/>
        <v/>
      </c>
    </row>
    <row r="16" spans="1:11" ht="15" hidden="1" customHeight="1" x14ac:dyDescent="0.25">
      <c r="A16" s="16"/>
      <c r="B16" s="105"/>
      <c r="C16" s="106"/>
      <c r="D16" s="34"/>
      <c r="E16" s="60"/>
      <c r="F16" s="15"/>
      <c r="G16" s="15"/>
      <c r="H16" s="7"/>
      <c r="I16" s="20"/>
      <c r="J16" s="19"/>
      <c r="K16" t="str">
        <f t="shared" si="0"/>
        <v/>
      </c>
    </row>
    <row r="17" spans="1:11" ht="24.75" customHeight="1" x14ac:dyDescent="0.25">
      <c r="A17" s="130" t="s">
        <v>166</v>
      </c>
      <c r="B17" s="131"/>
      <c r="C17" s="132"/>
      <c r="D17" s="112"/>
      <c r="E17" s="112"/>
      <c r="F17" s="112"/>
      <c r="G17" s="112"/>
      <c r="H17" s="112"/>
      <c r="I17" s="112"/>
      <c r="J17" s="106"/>
      <c r="K17" t="str">
        <f t="shared" si="0"/>
        <v/>
      </c>
    </row>
    <row r="18" spans="1:11" ht="23.25" customHeight="1" x14ac:dyDescent="0.25">
      <c r="A18" s="61" t="s">
        <v>167</v>
      </c>
      <c r="B18" s="113" t="s">
        <v>168</v>
      </c>
      <c r="C18" s="114"/>
      <c r="D18" s="69"/>
      <c r="E18" s="60" t="str">
        <f>IF(AND(F18="",G18=""),"x","")</f>
        <v>x</v>
      </c>
      <c r="F18" s="15"/>
      <c r="G18" s="15"/>
      <c r="H18" s="90"/>
      <c r="I18" s="20"/>
      <c r="J18" s="19"/>
      <c r="K18" t="str">
        <f t="shared" si="0"/>
        <v/>
      </c>
    </row>
    <row r="19" spans="1:11" ht="31.5" hidden="1" customHeight="1" x14ac:dyDescent="0.25">
      <c r="A19" s="18" t="s">
        <v>169</v>
      </c>
      <c r="B19" s="105" t="s">
        <v>170</v>
      </c>
      <c r="C19" s="106"/>
      <c r="D19" s="34"/>
      <c r="E19" s="60" t="str">
        <f t="shared" ref="E19:E33" si="2">IF(AND(F19="",G19=""),"x","")</f>
        <v>x</v>
      </c>
      <c r="F19" s="15"/>
      <c r="G19" s="15"/>
      <c r="H19" s="90"/>
      <c r="I19" s="20"/>
      <c r="J19" s="19"/>
      <c r="K19" t="str">
        <f t="shared" si="0"/>
        <v/>
      </c>
    </row>
    <row r="20" spans="1:11" ht="25.5" customHeight="1" x14ac:dyDescent="0.25">
      <c r="A20" s="18" t="s">
        <v>169</v>
      </c>
      <c r="B20" s="113" t="s">
        <v>171</v>
      </c>
      <c r="C20" s="114"/>
      <c r="D20" s="34"/>
      <c r="E20" s="60" t="str">
        <f t="shared" si="2"/>
        <v>x</v>
      </c>
      <c r="F20" s="15"/>
      <c r="G20" s="15"/>
      <c r="H20" s="90"/>
      <c r="I20" s="20"/>
      <c r="J20" s="19"/>
      <c r="K20" t="str">
        <f t="shared" si="0"/>
        <v/>
      </c>
    </row>
    <row r="21" spans="1:11" ht="30.75" customHeight="1" x14ac:dyDescent="0.25">
      <c r="A21" s="18" t="s">
        <v>172</v>
      </c>
      <c r="B21" s="113" t="s">
        <v>173</v>
      </c>
      <c r="C21" s="114"/>
      <c r="D21" s="34" t="s">
        <v>367</v>
      </c>
      <c r="E21" s="60" t="str">
        <f t="shared" si="2"/>
        <v>x</v>
      </c>
      <c r="F21" s="15"/>
      <c r="G21" s="15"/>
      <c r="H21" s="7"/>
      <c r="I21" s="19"/>
      <c r="J21" s="19"/>
      <c r="K21" t="str">
        <f t="shared" si="0"/>
        <v/>
      </c>
    </row>
    <row r="22" spans="1:11" ht="33.75" customHeight="1" x14ac:dyDescent="0.25">
      <c r="A22" s="18" t="s">
        <v>174</v>
      </c>
      <c r="B22" s="113" t="s">
        <v>175</v>
      </c>
      <c r="C22" s="114"/>
      <c r="D22" s="34" t="s">
        <v>433</v>
      </c>
      <c r="E22" s="60" t="str">
        <f t="shared" si="2"/>
        <v>x</v>
      </c>
      <c r="F22" s="15"/>
      <c r="G22" s="15"/>
      <c r="H22" s="7"/>
      <c r="I22" s="19"/>
      <c r="J22" s="19"/>
      <c r="K22" t="str">
        <f t="shared" si="0"/>
        <v/>
      </c>
    </row>
    <row r="23" spans="1:11" ht="52.5" customHeight="1" x14ac:dyDescent="0.25">
      <c r="A23" s="18" t="s">
        <v>176</v>
      </c>
      <c r="B23" s="113" t="s">
        <v>353</v>
      </c>
      <c r="C23" s="121"/>
      <c r="D23" s="34" t="s">
        <v>368</v>
      </c>
      <c r="E23" s="60" t="str">
        <f t="shared" si="2"/>
        <v>x</v>
      </c>
      <c r="F23" s="15"/>
      <c r="G23" s="15"/>
      <c r="H23" s="7" t="str">
        <f>IF(F23&lt;&gt;"","There must be protection in the form of a breaker or fuse or fused AC disconnect between the DER and utility located immediately after the main service meter.","")</f>
        <v/>
      </c>
      <c r="I23" s="19"/>
      <c r="J23" s="19"/>
      <c r="K23" t="str">
        <f t="shared" si="0"/>
        <v/>
      </c>
    </row>
    <row r="24" spans="1:11" ht="36.75" hidden="1" customHeight="1" x14ac:dyDescent="0.25">
      <c r="A24" s="18"/>
      <c r="B24" s="117"/>
      <c r="C24" s="118"/>
      <c r="D24" s="34"/>
      <c r="E24" s="60" t="str">
        <f t="shared" si="2"/>
        <v/>
      </c>
      <c r="F24" s="15"/>
      <c r="G24" s="15" t="s">
        <v>41</v>
      </c>
      <c r="H24" s="7" t="str">
        <f>IF(F24&lt;&gt;"","The meter collar being used must also be listed in the application portal portal. ","")</f>
        <v/>
      </c>
      <c r="I24" s="19"/>
      <c r="J24" s="19"/>
      <c r="K24" t="str">
        <f t="shared" si="0"/>
        <v/>
      </c>
    </row>
    <row r="25" spans="1:11" ht="15" hidden="1" customHeight="1" x14ac:dyDescent="0.25">
      <c r="A25" s="18" t="s">
        <v>177</v>
      </c>
      <c r="B25" s="117" t="s">
        <v>178</v>
      </c>
      <c r="C25" s="118"/>
      <c r="D25" s="34"/>
      <c r="E25" s="60" t="str">
        <f t="shared" si="2"/>
        <v>x</v>
      </c>
      <c r="F25" s="15"/>
      <c r="G25" s="15"/>
      <c r="H25" s="7"/>
      <c r="I25" s="19"/>
      <c r="J25" s="19"/>
      <c r="K25" t="str">
        <f t="shared" si="0"/>
        <v/>
      </c>
    </row>
    <row r="26" spans="1:11" ht="24" customHeight="1" x14ac:dyDescent="0.25">
      <c r="A26" s="18" t="s">
        <v>179</v>
      </c>
      <c r="B26" s="115" t="s">
        <v>180</v>
      </c>
      <c r="C26" s="116"/>
      <c r="D26" s="34"/>
      <c r="E26" s="60" t="str">
        <f t="shared" si="2"/>
        <v>x</v>
      </c>
      <c r="F26" s="15"/>
      <c r="G26" s="15"/>
      <c r="H26" s="7"/>
      <c r="I26" s="19"/>
      <c r="J26" s="19"/>
      <c r="K26" t="str">
        <f t="shared" si="0"/>
        <v/>
      </c>
    </row>
    <row r="27" spans="1:11" ht="75" customHeight="1" x14ac:dyDescent="0.25">
      <c r="A27" s="18" t="s">
        <v>181</v>
      </c>
      <c r="B27" s="113" t="s">
        <v>342</v>
      </c>
      <c r="C27" s="114"/>
      <c r="D27" s="59"/>
      <c r="E27" s="60" t="str">
        <f t="shared" si="2"/>
        <v>x</v>
      </c>
      <c r="F27" s="15"/>
      <c r="G27" s="15"/>
      <c r="H27" s="7" t="str" cm="1">
        <f t="array" ref="H27">_xlfn.IFS(F27="CA","Value on application portal does not match value listed on oneline. Please update so they match.",OR(F27="x",F27="X"),"Value on application portal does not match value listed on oneline. This may be due to the inverters not matching in the application portal application assets (xxxx model) and the oneline (xxxx model). Please update so they match.",F27="","")</f>
        <v/>
      </c>
      <c r="I27" s="19"/>
      <c r="J27" s="19"/>
      <c r="K27" t="str">
        <f t="shared" si="0"/>
        <v/>
      </c>
    </row>
    <row r="28" spans="1:11" x14ac:dyDescent="0.25">
      <c r="A28" s="62" t="s">
        <v>182</v>
      </c>
      <c r="B28" s="115" t="s">
        <v>183</v>
      </c>
      <c r="C28" s="116"/>
      <c r="D28" s="34" t="s">
        <v>184</v>
      </c>
      <c r="E28" s="60" t="str">
        <f t="shared" si="2"/>
        <v>x</v>
      </c>
      <c r="F28" s="63"/>
      <c r="G28" s="63"/>
      <c r="H28" s="64" t="str">
        <f>IF(F28&lt;&gt;"","Missing, please include.","")</f>
        <v/>
      </c>
      <c r="I28" s="93"/>
      <c r="J28" s="19"/>
      <c r="K28" t="str">
        <f t="shared" si="0"/>
        <v/>
      </c>
    </row>
    <row r="29" spans="1:11" x14ac:dyDescent="0.25">
      <c r="A29" s="65" t="s">
        <v>185</v>
      </c>
      <c r="B29" s="115" t="s">
        <v>186</v>
      </c>
      <c r="C29" s="116"/>
      <c r="D29" s="59"/>
      <c r="E29" s="60" t="str">
        <f t="shared" si="2"/>
        <v>x</v>
      </c>
      <c r="F29" s="15"/>
      <c r="G29" s="15"/>
      <c r="H29" s="64" t="str">
        <f>IF(F29&lt;&gt;"","Missing. Please include with units (W, kW, VA, or kVA).","")</f>
        <v/>
      </c>
      <c r="I29" s="19"/>
      <c r="J29" s="19"/>
      <c r="K29" t="str">
        <f t="shared" si="0"/>
        <v/>
      </c>
    </row>
    <row r="30" spans="1:11" ht="24" customHeight="1" x14ac:dyDescent="0.25">
      <c r="A30" s="18" t="s">
        <v>187</v>
      </c>
      <c r="B30" s="113" t="s">
        <v>359</v>
      </c>
      <c r="C30" s="114"/>
      <c r="D30" s="59"/>
      <c r="E30" s="60" t="str">
        <f t="shared" si="2"/>
        <v>x</v>
      </c>
      <c r="F30" s="15"/>
      <c r="G30" s="15"/>
      <c r="H30" s="64"/>
      <c r="I30" s="19"/>
      <c r="J30" s="19"/>
      <c r="K30" t="str">
        <f t="shared" si="0"/>
        <v/>
      </c>
    </row>
    <row r="31" spans="1:11" ht="24" customHeight="1" x14ac:dyDescent="0.25">
      <c r="A31" s="18" t="s">
        <v>187</v>
      </c>
      <c r="B31" s="119" t="s">
        <v>360</v>
      </c>
      <c r="C31" s="120"/>
      <c r="D31" s="59"/>
      <c r="E31" s="60" t="str">
        <f t="shared" si="2"/>
        <v>x</v>
      </c>
      <c r="F31" s="15"/>
      <c r="G31" s="15"/>
      <c r="H31" s="64"/>
      <c r="I31" s="19"/>
      <c r="J31" s="19"/>
      <c r="K31" t="str">
        <f t="shared" si="0"/>
        <v/>
      </c>
    </row>
    <row r="32" spans="1:11" x14ac:dyDescent="0.25">
      <c r="A32" s="65" t="s">
        <v>188</v>
      </c>
      <c r="B32" s="115" t="s">
        <v>189</v>
      </c>
      <c r="C32" s="116"/>
      <c r="D32" s="34"/>
      <c r="E32" s="60" t="str">
        <f t="shared" si="2"/>
        <v>x</v>
      </c>
      <c r="F32" s="15"/>
      <c r="G32" s="15"/>
      <c r="H32" s="7" t="str">
        <f>IF(F32&lt;&gt;"","Missing, please include","")</f>
        <v/>
      </c>
      <c r="I32" s="19"/>
      <c r="J32" s="19"/>
      <c r="K32" t="str">
        <f t="shared" si="0"/>
        <v/>
      </c>
    </row>
    <row r="33" spans="1:11" ht="24" x14ac:dyDescent="0.25">
      <c r="A33" s="65" t="s">
        <v>190</v>
      </c>
      <c r="B33" s="115" t="s">
        <v>191</v>
      </c>
      <c r="C33" s="116"/>
      <c r="D33" s="34" t="s">
        <v>192</v>
      </c>
      <c r="E33" s="60" t="str">
        <f t="shared" si="2"/>
        <v>x</v>
      </c>
      <c r="F33" s="15"/>
      <c r="G33" s="15"/>
      <c r="H33" s="7"/>
      <c r="I33" s="19"/>
      <c r="J33" s="19"/>
      <c r="K33" t="str">
        <f t="shared" si="0"/>
        <v/>
      </c>
    </row>
    <row r="34" spans="1:11" ht="15" hidden="1" customHeight="1" x14ac:dyDescent="0.25">
      <c r="A34" s="65" t="s">
        <v>193</v>
      </c>
      <c r="B34" s="105" t="s">
        <v>194</v>
      </c>
      <c r="C34" s="106"/>
      <c r="D34" s="34"/>
      <c r="E34" s="60" t="str">
        <f t="shared" ref="E34" si="3">IF(OR(F34="",G34=""),"x","")</f>
        <v>x</v>
      </c>
      <c r="F34" s="15"/>
      <c r="G34" s="15"/>
      <c r="H34" s="7" t="str">
        <f>IF(F32&lt;&gt;"","Fixing 3.12 will resolve this issue as well.","")</f>
        <v/>
      </c>
      <c r="I34" s="19"/>
      <c r="J34" s="19"/>
      <c r="K34" t="str">
        <f t="shared" si="0"/>
        <v/>
      </c>
    </row>
    <row r="35" spans="1:11" ht="45" customHeight="1" x14ac:dyDescent="0.25">
      <c r="A35" s="65" t="s">
        <v>242</v>
      </c>
      <c r="B35" s="113" t="s">
        <v>419</v>
      </c>
      <c r="C35" s="114"/>
      <c r="D35" s="59"/>
      <c r="E35" s="15"/>
      <c r="F35" s="15"/>
      <c r="G35" s="15" t="str">
        <f>IF(AND(E35="",F35=""),"x","")</f>
        <v>x</v>
      </c>
      <c r="H35" s="7" t="str">
        <f>IF(F35&lt;&gt;"","Please explicitly call out which DER is existing and which is proposed.","")</f>
        <v/>
      </c>
      <c r="I35" s="19"/>
      <c r="J35" s="19"/>
      <c r="K35" t="str">
        <f t="shared" si="0"/>
        <v/>
      </c>
    </row>
    <row r="36" spans="1:11" ht="30.75" customHeight="1" x14ac:dyDescent="0.25">
      <c r="A36" s="65" t="s">
        <v>195</v>
      </c>
      <c r="B36" s="113" t="s">
        <v>136</v>
      </c>
      <c r="C36" s="114"/>
      <c r="D36" s="34" t="s">
        <v>424</v>
      </c>
      <c r="E36" s="15" t="str">
        <f>IF(C4="Yes","x","")</f>
        <v/>
      </c>
      <c r="F36" s="15"/>
      <c r="G36" s="15" t="str">
        <f t="shared" ref="G36:G37" si="4">IF(AND(E36="",F36=""),"x","")</f>
        <v>x</v>
      </c>
      <c r="H36" s="7" t="str">
        <f>IF(F36&lt;&gt;"","The ESS configuration being applied for shall be clearly indicated on the oneline.","")</f>
        <v/>
      </c>
      <c r="I36" s="19"/>
      <c r="J36" s="19"/>
      <c r="K36" t="str">
        <f t="shared" si="0"/>
        <v/>
      </c>
    </row>
    <row r="37" spans="1:11" ht="30.75" customHeight="1" x14ac:dyDescent="0.25">
      <c r="A37" s="65" t="s">
        <v>247</v>
      </c>
      <c r="B37" s="119" t="s">
        <v>355</v>
      </c>
      <c r="C37" s="120"/>
      <c r="D37" s="59"/>
      <c r="E37" s="15" t="str">
        <f>IF(C4="Yes","x","")</f>
        <v/>
      </c>
      <c r="F37" s="15"/>
      <c r="G37" s="15" t="str">
        <f t="shared" si="4"/>
        <v>x</v>
      </c>
      <c r="H37" s="7"/>
      <c r="I37" s="19"/>
      <c r="J37" s="19"/>
      <c r="K37" t="str">
        <f t="shared" si="0"/>
        <v/>
      </c>
    </row>
    <row r="38" spans="1:11" ht="30.75" customHeight="1" x14ac:dyDescent="0.25">
      <c r="A38" s="65" t="s">
        <v>449</v>
      </c>
      <c r="B38" s="119" t="s">
        <v>448</v>
      </c>
      <c r="C38" s="120"/>
      <c r="D38" s="85" t="str" cm="1">
        <f t="array" ref="D38">_xlfn.IFS(H38="2C","2C Non-Export, Net Metered : 1A,1B,1C,2A,2B,3A,3B", H38="2B","2B Non-Export, Net Metered : 1A,1B,1C,2A,2C,3A,3B",H38="2A","2A Standby Energy Storage, Net Metered : 1A,1B,1C,2B,2C,3A,3B",H38="3A","3A, 100% Renewable Export, Net Metered : 1A,1B,1C,2A,2B,2C,3B",H38="3B","3B, 100% Renewable Export, Net Metered : 1A,1B,1C,2A,2B,2C,3A",H38="1A","1A Standby Energy Storage : 1B,1C,2A,2B,2C,3A,3B",H38="1B","1B Non-Export, Non-Net Metered : 1A,1C,2A,2B,2C,3A,3B",H38="1C","1C Non-Export W/Gen, Non-Net Metered : 1A,1B,2A,2B,2C,3A,3B",H38="","Please input configuration type into cell H38")</f>
        <v>Please input configuration type into cell H38</v>
      </c>
      <c r="E38" s="111"/>
      <c r="F38" s="112"/>
      <c r="G38" s="112"/>
      <c r="H38" s="86"/>
      <c r="I38" s="19"/>
      <c r="J38" s="19"/>
      <c r="K38" t="str">
        <f t="shared" si="0"/>
        <v/>
      </c>
    </row>
    <row r="39" spans="1:11" ht="32.25" customHeight="1" x14ac:dyDescent="0.25">
      <c r="A39" s="65" t="s">
        <v>247</v>
      </c>
      <c r="B39" s="105" t="s">
        <v>343</v>
      </c>
      <c r="C39" s="106"/>
      <c r="D39"/>
      <c r="E39" s="15" t="str">
        <f>IF(C4="Yes","x","")</f>
        <v/>
      </c>
      <c r="F39" s="15"/>
      <c r="G39" s="60" t="str">
        <f>IF(C4="No","x","")</f>
        <v>x</v>
      </c>
      <c r="H39" s="7"/>
      <c r="I39" s="19"/>
      <c r="J39" s="19"/>
      <c r="K39" t="str">
        <f t="shared" si="0"/>
        <v/>
      </c>
    </row>
    <row r="40" spans="1:11" ht="19.5" hidden="1" customHeight="1" x14ac:dyDescent="0.25">
      <c r="A40" s="68">
        <v>3.17</v>
      </c>
      <c r="B40" s="105" t="s">
        <v>196</v>
      </c>
      <c r="C40" s="106"/>
      <c r="D40" s="34" t="s">
        <v>197</v>
      </c>
      <c r="E40" s="15"/>
      <c r="F40" s="15"/>
      <c r="G40" s="60" t="str">
        <f t="shared" ref="G40:G41" si="5">IF(AND(E40="",F40=""),"x","")</f>
        <v>x</v>
      </c>
      <c r="H40" s="7"/>
      <c r="I40" s="19"/>
      <c r="J40" s="19"/>
      <c r="K40" t="str">
        <f t="shared" si="0"/>
        <v/>
      </c>
    </row>
    <row r="41" spans="1:11" ht="29.25" customHeight="1" x14ac:dyDescent="0.25">
      <c r="A41" s="68" t="s">
        <v>198</v>
      </c>
      <c r="B41" s="119" t="s">
        <v>344</v>
      </c>
      <c r="C41" s="120"/>
      <c r="D41" s="34" t="s">
        <v>243</v>
      </c>
      <c r="E41" s="15"/>
      <c r="F41" s="15"/>
      <c r="G41" s="60" t="str">
        <f t="shared" si="5"/>
        <v>x</v>
      </c>
      <c r="H41" s="7"/>
      <c r="I41" s="19"/>
      <c r="J41" s="19"/>
      <c r="K41" t="str">
        <f t="shared" si="0"/>
        <v/>
      </c>
    </row>
    <row r="42" spans="1:11" ht="30" hidden="1" customHeight="1" x14ac:dyDescent="0.25">
      <c r="A42" s="68"/>
      <c r="B42" s="117"/>
      <c r="C42" s="118"/>
      <c r="D42" s="34"/>
      <c r="E42" s="15"/>
      <c r="F42" s="15"/>
      <c r="G42" s="60" t="s">
        <v>41</v>
      </c>
      <c r="H42" s="7"/>
      <c r="I42" s="19"/>
      <c r="J42" s="19"/>
      <c r="K42" t="str">
        <f>IF(F42&lt;&gt;"",A42&amp;" - "&amp;B42&amp;H42,"")</f>
        <v/>
      </c>
    </row>
    <row r="43" spans="1:11" ht="30" hidden="1" customHeight="1" x14ac:dyDescent="0.25">
      <c r="A43" s="68"/>
      <c r="B43" s="117"/>
      <c r="C43" s="118"/>
      <c r="D43" s="34"/>
      <c r="E43" s="15"/>
      <c r="F43" s="15"/>
      <c r="G43" s="60"/>
      <c r="H43" s="7"/>
      <c r="I43" s="20"/>
      <c r="J43" s="19"/>
    </row>
    <row r="44" spans="1:11" ht="48.75" hidden="1" customHeight="1" x14ac:dyDescent="0.25">
      <c r="A44" s="68"/>
      <c r="B44" s="105"/>
      <c r="C44" s="106"/>
      <c r="D44" s="34"/>
      <c r="E44" s="15"/>
      <c r="F44" s="15"/>
      <c r="G44" s="60" t="s">
        <v>41</v>
      </c>
      <c r="H44" s="7"/>
      <c r="I44" s="20"/>
      <c r="J44" s="19"/>
      <c r="K44" t="str">
        <f t="shared" si="0"/>
        <v/>
      </c>
    </row>
    <row r="45" spans="1:11" x14ac:dyDescent="0.25">
      <c r="A45" s="110" t="s">
        <v>198</v>
      </c>
      <c r="B45" s="106"/>
      <c r="C45" s="111"/>
      <c r="D45" s="112"/>
      <c r="E45" s="112"/>
      <c r="F45" s="112"/>
      <c r="G45" s="112"/>
      <c r="H45" s="112"/>
      <c r="I45" s="112"/>
      <c r="J45" s="106"/>
      <c r="K45" s="56" t="s">
        <v>292</v>
      </c>
    </row>
    <row r="46" spans="1:11" ht="54" customHeight="1" x14ac:dyDescent="0.25">
      <c r="A46" s="18" t="s">
        <v>199</v>
      </c>
      <c r="B46" s="113" t="s">
        <v>300</v>
      </c>
      <c r="C46" s="114"/>
      <c r="D46" s="34" t="s">
        <v>249</v>
      </c>
      <c r="E46" s="15" t="str">
        <f>IFERROR(IF(A95&gt;10,"x",""),"")</f>
        <v>x</v>
      </c>
      <c r="F46" s="15"/>
      <c r="G46" s="60" t="str">
        <f>IFERROR(IF(A95&lt;=10,"x",""),"x")</f>
        <v/>
      </c>
      <c r="H46" s="7"/>
      <c r="I46" s="19"/>
      <c r="J46" s="19"/>
      <c r="K46" t="str">
        <f t="shared" si="0"/>
        <v/>
      </c>
    </row>
    <row r="47" spans="1:11" ht="35.25" customHeight="1" x14ac:dyDescent="0.25">
      <c r="A47" s="66" t="s">
        <v>200</v>
      </c>
      <c r="B47" s="115" t="s">
        <v>201</v>
      </c>
      <c r="C47" s="116"/>
      <c r="D47" s="34"/>
      <c r="E47" s="15"/>
      <c r="F47" s="15"/>
      <c r="G47" s="60" t="str">
        <f>IF(AND(E47="",F47=""),"x","")</f>
        <v>x</v>
      </c>
      <c r="H47" s="7" t="str">
        <f>IF(F47="","","Production meter is missing the full 1-phase, 3-wire label. Please add.")</f>
        <v/>
      </c>
      <c r="I47" s="19"/>
      <c r="J47" s="19"/>
      <c r="K47" t="str">
        <f t="shared" si="0"/>
        <v/>
      </c>
    </row>
    <row r="48" spans="1:11" ht="34.5" hidden="1" customHeight="1" x14ac:dyDescent="0.25">
      <c r="A48" s="66" t="s">
        <v>202</v>
      </c>
      <c r="B48" s="105" t="s">
        <v>203</v>
      </c>
      <c r="C48" s="106"/>
      <c r="D48" s="34"/>
      <c r="E48" s="15"/>
      <c r="F48" s="15"/>
      <c r="G48" s="60" t="str">
        <f t="shared" ref="G48:G52" si="6">IF(AND(E48="",F48=""),"x","")</f>
        <v>x</v>
      </c>
      <c r="H48" s="7"/>
      <c r="I48" s="19"/>
      <c r="J48" s="19"/>
      <c r="K48" t="str">
        <f t="shared" si="0"/>
        <v/>
      </c>
    </row>
    <row r="49" spans="1:11" ht="50.25" customHeight="1" x14ac:dyDescent="0.25">
      <c r="A49" s="66" t="s">
        <v>204</v>
      </c>
      <c r="B49" s="113" t="s">
        <v>205</v>
      </c>
      <c r="C49" s="114"/>
      <c r="D49" s="34" t="s">
        <v>369</v>
      </c>
      <c r="E49" s="15"/>
      <c r="F49" s="15"/>
      <c r="G49" s="60" t="str">
        <f t="shared" si="6"/>
        <v>x</v>
      </c>
      <c r="H49" s="7"/>
      <c r="I49" s="19"/>
      <c r="J49" s="19"/>
      <c r="K49" t="str">
        <f t="shared" si="0"/>
        <v/>
      </c>
    </row>
    <row r="50" spans="1:11" ht="67.5" customHeight="1" x14ac:dyDescent="0.25">
      <c r="A50" s="66" t="s">
        <v>204</v>
      </c>
      <c r="B50" s="119" t="s">
        <v>347</v>
      </c>
      <c r="C50" s="120"/>
      <c r="D50" s="34" t="s">
        <v>370</v>
      </c>
      <c r="E50" s="15"/>
      <c r="F50" s="15"/>
      <c r="G50" s="60" t="str">
        <f t="shared" si="6"/>
        <v>x</v>
      </c>
      <c r="H50" s="7"/>
      <c r="I50" s="19"/>
      <c r="J50" s="19"/>
      <c r="K50" t="str">
        <f t="shared" si="0"/>
        <v/>
      </c>
    </row>
    <row r="51" spans="1:11" ht="24" customHeight="1" x14ac:dyDescent="0.25">
      <c r="A51" s="66" t="s">
        <v>206</v>
      </c>
      <c r="B51" s="115" t="s">
        <v>207</v>
      </c>
      <c r="C51" s="116"/>
      <c r="D51" s="34" t="s">
        <v>208</v>
      </c>
      <c r="E51" s="15"/>
      <c r="F51" s="15"/>
      <c r="G51" s="60" t="str">
        <f t="shared" si="6"/>
        <v>x</v>
      </c>
      <c r="H51" s="7"/>
      <c r="I51" s="19"/>
      <c r="J51" s="19"/>
      <c r="K51" t="str">
        <f t="shared" si="0"/>
        <v/>
      </c>
    </row>
    <row r="52" spans="1:11" ht="45.75" customHeight="1" x14ac:dyDescent="0.25">
      <c r="A52" s="66" t="s">
        <v>209</v>
      </c>
      <c r="B52" s="113" t="s">
        <v>345</v>
      </c>
      <c r="C52" s="114"/>
      <c r="D52" s="34" t="s">
        <v>434</v>
      </c>
      <c r="E52" s="15"/>
      <c r="F52" s="15"/>
      <c r="G52" s="60" t="str">
        <f t="shared" si="6"/>
        <v>x</v>
      </c>
      <c r="H52" s="7" t="str">
        <f>IF(F52="","","DER side of production meter to be labeled line side and utility side of production meter to be labeled load side.")</f>
        <v/>
      </c>
      <c r="I52" s="19"/>
      <c r="J52" s="19"/>
      <c r="K52" t="str">
        <f t="shared" si="0"/>
        <v/>
      </c>
    </row>
    <row r="53" spans="1:11" ht="45.75" customHeight="1" x14ac:dyDescent="0.25">
      <c r="A53" s="66" t="s">
        <v>334</v>
      </c>
      <c r="B53" s="119" t="s">
        <v>346</v>
      </c>
      <c r="C53" s="120"/>
      <c r="D53" s="34" t="s">
        <v>435</v>
      </c>
      <c r="E53" s="15" t="str">
        <f>IF(AND(F53="",G53=""),"x","")</f>
        <v>x</v>
      </c>
      <c r="F53" s="15"/>
      <c r="G53" s="60"/>
      <c r="H53" s="7"/>
      <c r="I53" s="19"/>
      <c r="J53" s="19"/>
      <c r="K53" t="str">
        <f t="shared" si="0"/>
        <v/>
      </c>
    </row>
    <row r="54" spans="1:11" ht="63.75" customHeight="1" x14ac:dyDescent="0.25">
      <c r="A54" s="66" t="s">
        <v>361</v>
      </c>
      <c r="B54" s="119" t="s">
        <v>348</v>
      </c>
      <c r="C54" s="120"/>
      <c r="D54" s="34" t="s">
        <v>436</v>
      </c>
      <c r="E54" s="15"/>
      <c r="F54" s="15"/>
      <c r="G54" s="60" t="str">
        <f>IF(AND(E54="",F54=""),"x","")</f>
        <v>x</v>
      </c>
      <c r="H54" s="7"/>
      <c r="I54" s="19"/>
      <c r="J54" s="19"/>
      <c r="K54" t="str">
        <f t="shared" si="0"/>
        <v/>
      </c>
    </row>
    <row r="55" spans="1:11" ht="63.75" customHeight="1" x14ac:dyDescent="0.25">
      <c r="A55" s="66" t="s">
        <v>361</v>
      </c>
      <c r="B55" s="119" t="s">
        <v>349</v>
      </c>
      <c r="C55" s="120"/>
      <c r="D55" s="34" t="s">
        <v>437</v>
      </c>
      <c r="E55" s="15"/>
      <c r="F55" s="15"/>
      <c r="G55" s="60" t="str">
        <f t="shared" ref="G55:G57" si="7">IF(AND(E55="",F55=""),"x","")</f>
        <v>x</v>
      </c>
      <c r="H55" s="7"/>
      <c r="I55" s="19"/>
      <c r="J55" s="19"/>
      <c r="K55" t="str">
        <f t="shared" si="0"/>
        <v/>
      </c>
    </row>
    <row r="56" spans="1:11" ht="71.25" hidden="1" customHeight="1" x14ac:dyDescent="0.25">
      <c r="A56" s="66" t="s">
        <v>210</v>
      </c>
      <c r="B56" s="105" t="s">
        <v>211</v>
      </c>
      <c r="C56" s="106"/>
      <c r="D56" s="34"/>
      <c r="E56" s="15"/>
      <c r="F56" s="15"/>
      <c r="G56" s="60" t="str">
        <f t="shared" si="7"/>
        <v>x</v>
      </c>
      <c r="H56" s="7"/>
      <c r="I56" s="19"/>
      <c r="J56" s="19"/>
      <c r="K56" t="str">
        <f t="shared" si="0"/>
        <v/>
      </c>
    </row>
    <row r="57" spans="1:11" ht="36" x14ac:dyDescent="0.25">
      <c r="A57" s="66" t="s">
        <v>293</v>
      </c>
      <c r="B57" s="119" t="s">
        <v>354</v>
      </c>
      <c r="C57" s="120"/>
      <c r="D57" s="34" t="s">
        <v>438</v>
      </c>
      <c r="E57" s="15"/>
      <c r="F57" s="15"/>
      <c r="G57" s="60" t="str">
        <f t="shared" si="7"/>
        <v>x</v>
      </c>
      <c r="H57" s="7"/>
      <c r="I57" s="20"/>
      <c r="J57" s="19"/>
      <c r="K57" t="str">
        <f t="shared" si="0"/>
        <v/>
      </c>
    </row>
    <row r="58" spans="1:11" ht="36.75" hidden="1" customHeight="1" x14ac:dyDescent="0.25">
      <c r="A58" s="66"/>
      <c r="B58" s="105"/>
      <c r="C58" s="106"/>
      <c r="D58" s="34"/>
      <c r="E58" s="15"/>
      <c r="F58" s="15"/>
      <c r="G58" s="60"/>
      <c r="H58" s="7"/>
      <c r="I58" s="20"/>
      <c r="J58" s="19"/>
    </row>
    <row r="59" spans="1:11" ht="24" hidden="1" customHeight="1" x14ac:dyDescent="0.25">
      <c r="A59" s="66"/>
      <c r="B59" s="105"/>
      <c r="C59" s="106"/>
      <c r="D59" s="34"/>
      <c r="E59" s="15" t="s">
        <v>41</v>
      </c>
      <c r="F59" s="15"/>
      <c r="G59" s="60"/>
      <c r="H59" s="7"/>
      <c r="I59" s="20"/>
      <c r="J59" s="19"/>
      <c r="K59" t="str">
        <f t="shared" si="0"/>
        <v/>
      </c>
    </row>
    <row r="60" spans="1:11" x14ac:dyDescent="0.25">
      <c r="A60" s="110" t="s">
        <v>212</v>
      </c>
      <c r="B60" s="106"/>
      <c r="C60" s="111"/>
      <c r="D60" s="112"/>
      <c r="E60" s="112"/>
      <c r="F60" s="112"/>
      <c r="G60" s="112"/>
      <c r="H60" s="112"/>
      <c r="I60" s="112"/>
      <c r="J60" s="106"/>
      <c r="K60" s="56" t="s">
        <v>447</v>
      </c>
    </row>
    <row r="61" spans="1:11" ht="40.5" customHeight="1" x14ac:dyDescent="0.25">
      <c r="A61" s="66" t="s">
        <v>335</v>
      </c>
      <c r="B61" s="119" t="s">
        <v>350</v>
      </c>
      <c r="C61" s="120"/>
      <c r="D61" s="34" t="s">
        <v>439</v>
      </c>
      <c r="E61" s="60" t="str">
        <f>IF(AND(F61="",G61=""),"x","")</f>
        <v>x</v>
      </c>
      <c r="F61" s="60"/>
      <c r="G61" s="15"/>
      <c r="H61" s="7"/>
      <c r="I61" s="19"/>
      <c r="J61" s="19"/>
      <c r="K61" t="str">
        <f>IF(F61&lt;&gt;"",A61&amp;" - "&amp;B61&amp;H61,"")</f>
        <v/>
      </c>
    </row>
    <row r="62" spans="1:11" ht="55.5" customHeight="1" x14ac:dyDescent="0.25">
      <c r="A62" s="18" t="s">
        <v>336</v>
      </c>
      <c r="B62" s="113" t="s">
        <v>430</v>
      </c>
      <c r="C62" s="114"/>
      <c r="D62" s="34" t="s">
        <v>362</v>
      </c>
      <c r="E62" s="60" t="str">
        <f>IF(AND(F62="",G62=""),"x","")</f>
        <v>x</v>
      </c>
      <c r="F62" s="60"/>
      <c r="G62" s="15"/>
      <c r="H62" s="7" t="str" cm="1">
        <f t="array" ref="H62">_xlfn.IFS(F62="CA","Must distinguish one AC disconnect as the 'Utility AC Disconnect.' Please ensure the utility AC disconnect is described as 'visible-open type, lockable, and readily accessible.'", OR(F62="x",F62="X"),"Must distinguish one AC disconnect as the 'Utility AC Disconnect.' Please ensure the utility AC disconnect is described as 'visible-open type, lockable, and readily accessible.",F62="","")</f>
        <v/>
      </c>
      <c r="I62" s="19"/>
      <c r="J62" s="19"/>
      <c r="K62" t="str">
        <f t="shared" si="0"/>
        <v/>
      </c>
    </row>
    <row r="63" spans="1:11" ht="60.75" customHeight="1" x14ac:dyDescent="0.25">
      <c r="A63" s="66" t="s">
        <v>337</v>
      </c>
      <c r="B63" s="115" t="s">
        <v>213</v>
      </c>
      <c r="C63" s="116"/>
      <c r="D63" s="34" t="s">
        <v>214</v>
      </c>
      <c r="E63" s="15"/>
      <c r="F63" s="15"/>
      <c r="G63" s="60" t="str">
        <f>IF(AND(E63="",F63=""),"x","")</f>
        <v>x</v>
      </c>
      <c r="H63" s="7"/>
      <c r="I63" s="20"/>
      <c r="J63" s="19"/>
      <c r="K63" t="str">
        <f t="shared" si="0"/>
        <v/>
      </c>
    </row>
    <row r="64" spans="1:11" ht="25.5" customHeight="1" x14ac:dyDescent="0.25">
      <c r="A64" s="66" t="s">
        <v>338</v>
      </c>
      <c r="B64" s="113" t="s">
        <v>294</v>
      </c>
      <c r="C64" s="114"/>
      <c r="D64" s="34"/>
      <c r="E64" s="15"/>
      <c r="F64" s="15"/>
      <c r="G64" s="60" t="str">
        <f t="shared" ref="G64:G66" si="8">IF(AND(E64="",F64=""),"x","")</f>
        <v>x</v>
      </c>
      <c r="H64" s="7"/>
      <c r="I64" s="20"/>
      <c r="J64" s="19"/>
      <c r="K64" t="str">
        <f t="shared" si="0"/>
        <v/>
      </c>
    </row>
    <row r="65" spans="1:11" ht="25.5" hidden="1" customHeight="1" x14ac:dyDescent="0.25">
      <c r="A65" s="66" t="s">
        <v>339</v>
      </c>
      <c r="B65" s="113" t="s">
        <v>215</v>
      </c>
      <c r="C65" s="114"/>
      <c r="D65" s="34"/>
      <c r="E65" s="60" t="s">
        <v>41</v>
      </c>
      <c r="F65" s="15"/>
      <c r="G65" s="60" t="str">
        <f t="shared" si="8"/>
        <v/>
      </c>
      <c r="H65" s="7"/>
      <c r="I65" s="20"/>
      <c r="J65" s="19"/>
      <c r="K65" t="str">
        <f t="shared" si="0"/>
        <v/>
      </c>
    </row>
    <row r="66" spans="1:11" ht="62.25" customHeight="1" x14ac:dyDescent="0.25">
      <c r="A66" s="66" t="s">
        <v>340</v>
      </c>
      <c r="B66" s="113" t="s">
        <v>216</v>
      </c>
      <c r="C66" s="114"/>
      <c r="D66" s="34"/>
      <c r="E66" s="15"/>
      <c r="F66" s="15"/>
      <c r="G66" s="60" t="str">
        <f t="shared" si="8"/>
        <v>x</v>
      </c>
      <c r="H66" s="7"/>
      <c r="I66" s="20"/>
      <c r="J66" s="19"/>
      <c r="K66" t="str">
        <f t="shared" si="0"/>
        <v/>
      </c>
    </row>
    <row r="67" spans="1:11" ht="58.5" hidden="1" customHeight="1" x14ac:dyDescent="0.25">
      <c r="A67" s="66"/>
      <c r="B67" s="105"/>
      <c r="C67" s="106"/>
      <c r="D67" s="34"/>
      <c r="E67" s="15"/>
      <c r="F67" s="15"/>
      <c r="G67" s="60"/>
      <c r="H67" s="7"/>
      <c r="I67" s="20"/>
      <c r="J67" s="19"/>
      <c r="K67" t="str">
        <f t="shared" si="0"/>
        <v/>
      </c>
    </row>
    <row r="68" spans="1:11" ht="15.75" customHeight="1" x14ac:dyDescent="0.25">
      <c r="A68" s="142" t="s">
        <v>217</v>
      </c>
      <c r="B68" s="112"/>
      <c r="C68" s="112"/>
      <c r="D68" s="112"/>
      <c r="E68" s="112"/>
      <c r="F68" s="112"/>
      <c r="G68" s="112"/>
      <c r="H68" s="112"/>
      <c r="I68" s="112"/>
      <c r="J68" s="106"/>
      <c r="K68" t="str">
        <f t="shared" si="0"/>
        <v/>
      </c>
    </row>
    <row r="69" spans="1:11" x14ac:dyDescent="0.25">
      <c r="A69" s="110" t="s">
        <v>161</v>
      </c>
      <c r="B69" s="106"/>
      <c r="C69" s="111"/>
      <c r="D69" s="112"/>
      <c r="E69" s="112"/>
      <c r="F69" s="112"/>
      <c r="G69" s="112"/>
      <c r="H69" s="112"/>
      <c r="I69" s="112"/>
      <c r="J69" s="106"/>
      <c r="K69" t="str">
        <f>IF(OR(COUNTIF(F70:F90,"x")&gt;0,COUNTIF(F70:F90,"CA")&gt;0),"Site Plan:","")</f>
        <v/>
      </c>
    </row>
    <row r="70" spans="1:11" ht="29.25" customHeight="1" x14ac:dyDescent="0.25">
      <c r="A70" s="18" t="s">
        <v>218</v>
      </c>
      <c r="B70" s="113" t="s">
        <v>219</v>
      </c>
      <c r="C70" s="114"/>
      <c r="D70" s="59">
        <f>D13</f>
        <v>0</v>
      </c>
      <c r="E70" s="60" t="str">
        <f>IF(AND(F70="",G70=""),"x","")</f>
        <v>x</v>
      </c>
      <c r="F70" s="15"/>
      <c r="G70" s="15"/>
      <c r="H70" s="7" t="str">
        <f>IF(F70&lt;&gt;"","Name on site plan does not match the customer name listed on application portal. Please update so they match.","")</f>
        <v/>
      </c>
      <c r="I70" s="19"/>
      <c r="J70" s="19"/>
      <c r="K70" t="str">
        <f t="shared" ref="K70:K90" si="9">IF(F70&lt;&gt;"",A70&amp;" - "&amp;B70&amp;H70,"")</f>
        <v/>
      </c>
    </row>
    <row r="71" spans="1:11" ht="48" customHeight="1" x14ac:dyDescent="0.25">
      <c r="A71" s="18" t="s">
        <v>220</v>
      </c>
      <c r="B71" s="113" t="s">
        <v>221</v>
      </c>
      <c r="C71" s="114"/>
      <c r="D71" s="59">
        <f>D14</f>
        <v>0</v>
      </c>
      <c r="E71" s="60" t="str">
        <f t="shared" ref="E71:E78" si="10">IF(AND(F71="",G71=""),"x","")</f>
        <v>x</v>
      </c>
      <c r="F71" s="15"/>
      <c r="G71" s="15"/>
      <c r="H71" s="7" t="str">
        <f>IF(F71&lt;&gt;"","Missing, please include.","")</f>
        <v/>
      </c>
      <c r="I71" s="19"/>
      <c r="J71" s="19"/>
      <c r="K71" t="str">
        <f t="shared" si="9"/>
        <v/>
      </c>
    </row>
    <row r="72" spans="1:11" ht="48" customHeight="1" x14ac:dyDescent="0.25">
      <c r="A72" s="18" t="s">
        <v>222</v>
      </c>
      <c r="B72" s="115" t="s">
        <v>223</v>
      </c>
      <c r="C72" s="116"/>
      <c r="D72" s="59"/>
      <c r="E72" s="60" t="str">
        <f t="shared" si="10"/>
        <v>x</v>
      </c>
      <c r="F72" s="15"/>
      <c r="G72" s="15"/>
      <c r="H72" s="7" t="str">
        <f>IF(F72&lt;&gt;"","At a minimum, a phone number or email address must be included for contact information.","")</f>
        <v/>
      </c>
      <c r="I72" s="19"/>
      <c r="J72" s="19"/>
      <c r="K72" t="str">
        <f t="shared" si="9"/>
        <v/>
      </c>
    </row>
    <row r="73" spans="1:11" ht="15.75" hidden="1" customHeight="1" x14ac:dyDescent="0.25">
      <c r="A73" s="18"/>
      <c r="B73" s="105"/>
      <c r="C73" s="106"/>
      <c r="D73" s="59"/>
      <c r="E73" s="60" t="str">
        <f t="shared" si="10"/>
        <v>x</v>
      </c>
      <c r="F73" s="15"/>
      <c r="G73" s="15"/>
      <c r="H73" s="7" t="str">
        <f>IF(F73&lt;&gt;"","Missing, please include. Failure to include case numbers in future applications may lead to rejection.","")</f>
        <v/>
      </c>
      <c r="I73" s="19"/>
      <c r="J73" s="19"/>
      <c r="K73" t="str">
        <f t="shared" si="9"/>
        <v/>
      </c>
    </row>
    <row r="74" spans="1:11" ht="15.75" customHeight="1" x14ac:dyDescent="0.25">
      <c r="A74" s="18" t="s">
        <v>224</v>
      </c>
      <c r="B74" s="115" t="s">
        <v>226</v>
      </c>
      <c r="C74" s="116"/>
      <c r="E74" s="60" t="str">
        <f t="shared" si="10"/>
        <v>x</v>
      </c>
      <c r="F74" s="15"/>
      <c r="G74" s="15"/>
      <c r="H74" s="6" t="str">
        <f>IF(F74&lt;&gt;"", "No streets are shown. Please include and label.","")</f>
        <v/>
      </c>
      <c r="I74" s="19"/>
      <c r="J74" s="19"/>
      <c r="K74" t="str">
        <f t="shared" si="9"/>
        <v/>
      </c>
    </row>
    <row r="75" spans="1:11" ht="36.75" customHeight="1" x14ac:dyDescent="0.25">
      <c r="A75" s="66" t="s">
        <v>364</v>
      </c>
      <c r="B75" s="115" t="s">
        <v>227</v>
      </c>
      <c r="C75" s="116"/>
      <c r="D75" s="34" t="s">
        <v>228</v>
      </c>
      <c r="E75" s="60" t="str">
        <f t="shared" si="10"/>
        <v>x</v>
      </c>
      <c r="F75" s="15"/>
      <c r="G75" s="15"/>
      <c r="H75" s="7" t="str">
        <f>IF(F75&lt;&gt;"","Missing, please include with name, distance, and direction to nearest cross street if one is not shown.","")</f>
        <v/>
      </c>
      <c r="I75" s="19"/>
      <c r="J75" s="19"/>
      <c r="K75" t="str">
        <f t="shared" si="9"/>
        <v/>
      </c>
    </row>
    <row r="76" spans="1:11" ht="36.75" customHeight="1" x14ac:dyDescent="0.25">
      <c r="A76" s="66" t="s">
        <v>225</v>
      </c>
      <c r="B76" s="113" t="s">
        <v>230</v>
      </c>
      <c r="C76" s="114"/>
      <c r="D76" s="34"/>
      <c r="E76" s="60" t="str">
        <f t="shared" si="10"/>
        <v>x</v>
      </c>
      <c r="F76" s="15"/>
      <c r="G76" s="15"/>
      <c r="H76" s="7" t="str">
        <f>IF(F76&lt;&gt;"","Missing, please include.","")</f>
        <v/>
      </c>
      <c r="I76" s="19"/>
      <c r="J76" s="19"/>
      <c r="K76" t="str">
        <f t="shared" si="9"/>
        <v/>
      </c>
    </row>
    <row r="77" spans="1:11" ht="36.75" customHeight="1" x14ac:dyDescent="0.25">
      <c r="A77" s="66"/>
      <c r="B77" s="119" t="s">
        <v>351</v>
      </c>
      <c r="C77" s="120"/>
      <c r="D77" s="34" t="s">
        <v>244</v>
      </c>
      <c r="E77" s="60" t="str">
        <f t="shared" si="10"/>
        <v>x</v>
      </c>
      <c r="F77" s="15"/>
      <c r="G77" s="15"/>
      <c r="H77" s="7"/>
      <c r="I77" s="19"/>
      <c r="J77" s="19"/>
    </row>
    <row r="78" spans="1:11" ht="36.75" customHeight="1" x14ac:dyDescent="0.25">
      <c r="A78" s="66" t="s">
        <v>198</v>
      </c>
      <c r="B78" s="119" t="s">
        <v>246</v>
      </c>
      <c r="C78" s="120"/>
      <c r="D78" s="34" t="s">
        <v>245</v>
      </c>
      <c r="E78" s="60" t="str">
        <f t="shared" si="10"/>
        <v>x</v>
      </c>
      <c r="F78" s="15"/>
      <c r="G78" s="15"/>
      <c r="H78" s="7"/>
      <c r="I78" s="19"/>
      <c r="J78" s="19"/>
      <c r="K78" t="str">
        <f t="shared" si="9"/>
        <v/>
      </c>
    </row>
    <row r="79" spans="1:11" ht="54.75" customHeight="1" x14ac:dyDescent="0.25">
      <c r="A79" s="66" t="s">
        <v>198</v>
      </c>
      <c r="B79" s="113" t="s">
        <v>352</v>
      </c>
      <c r="C79" s="114"/>
      <c r="D79" s="59"/>
      <c r="E79" s="60"/>
      <c r="F79" s="15"/>
      <c r="G79" s="15" t="str">
        <f>IF(AND(E79="",F79=""),"x","")</f>
        <v>x</v>
      </c>
      <c r="H79" s="7" t="str">
        <f>IF(C1="","",IF(OR(COUNTIF('Drop Down Lists'!A2:A22,D79)&gt;0,D79=""),"!!!!!MOUNTAIN DIVISION!!!!!",""))</f>
        <v/>
      </c>
      <c r="I79" s="19"/>
      <c r="J79" s="19"/>
      <c r="K79" t="str">
        <f t="shared" si="9"/>
        <v/>
      </c>
    </row>
    <row r="80" spans="1:11" ht="48.75" hidden="1" customHeight="1" x14ac:dyDescent="0.25">
      <c r="A80" s="18"/>
      <c r="B80" s="105"/>
      <c r="C80" s="106"/>
      <c r="D80" s="34"/>
      <c r="E80" s="60" t="s">
        <v>41</v>
      </c>
      <c r="F80" s="15"/>
      <c r="G80" s="15"/>
      <c r="H80" s="7"/>
      <c r="I80" s="20"/>
      <c r="J80" s="19"/>
      <c r="K80" t="str">
        <f t="shared" si="9"/>
        <v/>
      </c>
    </row>
    <row r="81" spans="1:11" ht="21.75" customHeight="1" x14ac:dyDescent="0.25">
      <c r="A81" s="110" t="s">
        <v>166</v>
      </c>
      <c r="B81" s="106"/>
      <c r="C81" s="111"/>
      <c r="D81" s="112"/>
      <c r="E81" s="112"/>
      <c r="F81" s="112"/>
      <c r="G81" s="112"/>
      <c r="H81" s="112"/>
      <c r="I81" s="112"/>
      <c r="J81" s="106"/>
      <c r="K81" t="str">
        <f t="shared" si="9"/>
        <v/>
      </c>
    </row>
    <row r="82" spans="1:11" ht="70.5" customHeight="1" x14ac:dyDescent="0.25">
      <c r="A82" s="18" t="s">
        <v>229</v>
      </c>
      <c r="B82" s="113" t="s">
        <v>416</v>
      </c>
      <c r="C82" s="114"/>
      <c r="D82" s="34" t="s">
        <v>371</v>
      </c>
      <c r="E82" s="60" t="str">
        <f>IF(AND(F82="",G82=""),"x","")</f>
        <v>x</v>
      </c>
      <c r="F82" s="15"/>
      <c r="G82" s="15"/>
      <c r="H82" s="7"/>
      <c r="I82" s="19"/>
      <c r="J82" s="19"/>
      <c r="K82" t="str">
        <f t="shared" si="9"/>
        <v/>
      </c>
    </row>
    <row r="83" spans="1:11" ht="46.5" customHeight="1" x14ac:dyDescent="0.25">
      <c r="A83" s="66" t="s">
        <v>365</v>
      </c>
      <c r="B83" s="115" t="s">
        <v>295</v>
      </c>
      <c r="C83" s="116"/>
      <c r="D83" s="34" t="s">
        <v>234</v>
      </c>
      <c r="E83" s="60" t="str">
        <f t="shared" ref="E83:E89" si="11">IF(AND(F83="",G83=""),"x","")</f>
        <v>x</v>
      </c>
      <c r="F83" s="15"/>
      <c r="G83" s="15"/>
      <c r="H83" s="7"/>
      <c r="I83" s="19"/>
      <c r="J83" s="19"/>
      <c r="K83" t="str">
        <f t="shared" si="9"/>
        <v/>
      </c>
    </row>
    <row r="84" spans="1:11" ht="93" hidden="1" customHeight="1" x14ac:dyDescent="0.25">
      <c r="A84" s="66" t="s">
        <v>233</v>
      </c>
      <c r="B84" s="117" t="s">
        <v>363</v>
      </c>
      <c r="C84" s="118"/>
      <c r="D84" s="34"/>
      <c r="E84" s="60" t="str">
        <f t="shared" si="11"/>
        <v>x</v>
      </c>
      <c r="F84" s="15"/>
      <c r="G84" s="15"/>
      <c r="H84" s="7"/>
      <c r="I84" s="19"/>
      <c r="J84" s="19"/>
      <c r="K84" t="str">
        <f t="shared" si="9"/>
        <v/>
      </c>
    </row>
    <row r="85" spans="1:11" ht="27.75" customHeight="1" x14ac:dyDescent="0.25">
      <c r="A85" s="18" t="s">
        <v>231</v>
      </c>
      <c r="B85" s="115" t="s">
        <v>236</v>
      </c>
      <c r="C85" s="116"/>
      <c r="D85" s="34" t="s">
        <v>237</v>
      </c>
      <c r="E85" s="60" t="str">
        <f t="shared" si="11"/>
        <v>x</v>
      </c>
      <c r="F85" s="15"/>
      <c r="G85" s="15"/>
      <c r="H85" s="7"/>
      <c r="I85" s="19"/>
      <c r="J85" s="19"/>
      <c r="K85" t="str">
        <f t="shared" si="9"/>
        <v/>
      </c>
    </row>
    <row r="86" spans="1:11" ht="72.75" customHeight="1" x14ac:dyDescent="0.25">
      <c r="A86" s="18" t="s">
        <v>232</v>
      </c>
      <c r="B86" s="119" t="s">
        <v>417</v>
      </c>
      <c r="C86" s="120"/>
      <c r="D86" s="34" t="s">
        <v>440</v>
      </c>
      <c r="E86" s="60" t="str">
        <f t="shared" si="11"/>
        <v>x</v>
      </c>
      <c r="F86" s="15"/>
      <c r="G86" s="15"/>
      <c r="H86" s="7"/>
      <c r="I86" s="19"/>
      <c r="J86" s="19"/>
      <c r="K86" t="str">
        <f t="shared" si="9"/>
        <v/>
      </c>
    </row>
    <row r="87" spans="1:11" ht="42.75" customHeight="1" x14ac:dyDescent="0.25">
      <c r="A87" s="66" t="s">
        <v>198</v>
      </c>
      <c r="B87" s="113" t="s">
        <v>422</v>
      </c>
      <c r="C87" s="114"/>
      <c r="D87" s="34" t="s">
        <v>421</v>
      </c>
      <c r="E87" s="60"/>
      <c r="F87" s="15"/>
      <c r="G87" s="60" t="str">
        <f>IF(AND(E87="",F87=""),"x","")</f>
        <v>x</v>
      </c>
      <c r="H87" s="7" t="str">
        <f>IF(F87&lt;&gt;"",D87,"")</f>
        <v/>
      </c>
      <c r="I87" s="19"/>
      <c r="J87" s="19"/>
      <c r="K87" t="str">
        <f t="shared" si="9"/>
        <v/>
      </c>
    </row>
    <row r="88" spans="1:11" ht="30.75" customHeight="1" x14ac:dyDescent="0.25">
      <c r="A88" s="18" t="s">
        <v>235</v>
      </c>
      <c r="B88" s="113" t="s">
        <v>420</v>
      </c>
      <c r="C88" s="114"/>
      <c r="D88" s="34"/>
      <c r="E88" s="60" t="str">
        <f t="shared" si="11"/>
        <v>x</v>
      </c>
      <c r="F88" s="15"/>
      <c r="G88" s="60"/>
      <c r="H88" s="7" t="str" cm="1">
        <f t="array" ref="H88">_xlfn.IFS(F88="CA","Please ensure access is described as '24/7, unescorted, and keyless.'",OR(F88="x",F88="X"),"Missing a note stating this. Please include.",F88="","")</f>
        <v/>
      </c>
      <c r="I88" s="19"/>
      <c r="J88" s="19"/>
      <c r="K88" t="str">
        <f t="shared" si="9"/>
        <v/>
      </c>
    </row>
    <row r="89" spans="1:11" ht="45.75" customHeight="1" x14ac:dyDescent="0.25">
      <c r="A89" s="18" t="s">
        <v>238</v>
      </c>
      <c r="B89" s="115" t="s">
        <v>239</v>
      </c>
      <c r="C89" s="116"/>
      <c r="D89" s="34"/>
      <c r="E89" s="60" t="str">
        <f t="shared" si="11"/>
        <v>x</v>
      </c>
      <c r="F89" s="15"/>
      <c r="G89" s="60"/>
      <c r="H89" s="7" t="str">
        <f>IF(F89&lt;&gt;"","Please note all position, distance, and clearance concerns, if any, or include a note stating there are no clearance concerns when none exist.","")</f>
        <v/>
      </c>
      <c r="I89" s="19"/>
      <c r="J89" s="19"/>
      <c r="K89" t="str">
        <f t="shared" si="9"/>
        <v/>
      </c>
    </row>
    <row r="90" spans="1:11" ht="39.75" customHeight="1" x14ac:dyDescent="0.25">
      <c r="A90" s="18" t="s">
        <v>240</v>
      </c>
      <c r="B90" s="113" t="s">
        <v>241</v>
      </c>
      <c r="C90" s="114"/>
      <c r="D90" s="34" t="s">
        <v>366</v>
      </c>
      <c r="E90" s="60"/>
      <c r="F90" s="15"/>
      <c r="G90" s="60" t="str">
        <f>IF(AND(E90="",F90=""),"x","")</f>
        <v>x</v>
      </c>
      <c r="H90" s="7"/>
      <c r="I90" s="19"/>
      <c r="J90" s="19"/>
      <c r="K90" t="str">
        <f t="shared" si="9"/>
        <v/>
      </c>
    </row>
    <row r="91" spans="1:11" ht="36.75" customHeight="1" x14ac:dyDescent="0.25">
      <c r="A91" s="107" t="s">
        <v>198</v>
      </c>
      <c r="B91" s="108"/>
      <c r="C91" s="108"/>
      <c r="D91" s="108"/>
      <c r="E91" s="108"/>
      <c r="F91" s="108"/>
      <c r="G91" s="108"/>
      <c r="H91" s="108"/>
      <c r="I91" s="108"/>
      <c r="J91" s="109"/>
    </row>
    <row r="92" spans="1:11" ht="32.25" customHeight="1" x14ac:dyDescent="0.25">
      <c r="A92" s="102" t="str">
        <f>IF(C3="","",C3)</f>
        <v/>
      </c>
      <c r="B92" s="105" t="s">
        <v>296</v>
      </c>
      <c r="C92" s="106"/>
      <c r="D92" s="34"/>
      <c r="E92" s="15" t="str">
        <f>IF(C1="","",IF(OR(C3="Re-Review",C3="N/A",RIGHT(C3,8)="Existing"),"","x"))</f>
        <v/>
      </c>
      <c r="F92" s="15"/>
      <c r="G92" s="15" t="str">
        <f>IF(C1="","",IF(OR(C3="Re-Review",C3="N/A",RIGHT(C3,8)="Existing"),"x",""))</f>
        <v/>
      </c>
      <c r="H92" s="7" t="str">
        <f>IFERROR(IF(C3="N/A","N/A",IF(A94&lt;=10,IF(VLOOKUP(C3,$B$96:$C$125,2,FALSE)=0,"",IF(AND(AND(E57="",F57=""),OR(H6&lt;&gt;"",H7&lt;&gt;"")),"!!! ERROR !!! A meter collar was selected in cell H6/H7, but 3.20 was selected as 'N/A' in row 57.",IF(OR(E57&lt;&gt;"",F57&lt;&gt;""),IF(H6&lt;&gt;"",_xlfn.CONCAT(VLOOKUP(C3,$B$96:$C$125,2,FALSE)," w/ ConnectDER Meter Collar"),IF(H7&lt;&gt;"",_xlfn.CONCAT(VLOOKUP(C3,$B$96:$C$125,2,FALSE)," w/ Tesla BUS"),"!!! ERROR !!! Must select which meter collar is present!")),VLOOKUP(C3,$B$96:$C$125,2,FALSE)))),IF(VLOOKUP(C3,$E$96:$F$125,2,FALSE)=0,"",IF(AND(AND(E57="",F57=""),OR(H6&lt;&gt;"",H7&lt;&gt;"")),"!!! ERROR !!! A meter collar was selected in cell H6/H7, but 3.20 was selected as 'N/A' in row 57.",IF(OR(E57&lt;&gt;"",F57&lt;&gt;""),IF(H6&lt;&gt;"",_xlfn.CONCAT(VLOOKUP(C3,$E$96:$F$125,2,FALSE)," w/ ConnectDER Meter Collar"),IF(H7&lt;&gt;"",_xlfn.CONCAT(VLOOKUP(C3,$E$96:$F$125,2,FALSE)," w/ Tesla BUS"),"!!! ERROR !!! Must select which meter collar is present!")),VLOOKUP(C3,$E$96:$F$125,2,FALSE)))))),"")</f>
        <v/>
      </c>
      <c r="I92" s="19"/>
      <c r="J92" s="19"/>
    </row>
    <row r="93" spans="1:11" ht="33" customHeight="1" x14ac:dyDescent="0.25">
      <c r="A93" s="66"/>
      <c r="B93" s="105" t="s">
        <v>297</v>
      </c>
      <c r="C93" s="106"/>
      <c r="D93" s="34"/>
      <c r="E93" s="15" t="str">
        <f>IF(C3="N/A","",IF(C1="","",E46))</f>
        <v/>
      </c>
      <c r="F93" s="15"/>
      <c r="G93" s="15" t="str">
        <f>IF(C3="N/A","x",IF(C1="","",G46))</f>
        <v/>
      </c>
      <c r="H93" s="7" t="str">
        <f>IF(C1="","",IF(E93&lt;&gt;"",IF(A94&lt;=10,VLOOKUP(C3,$B$96:$D$125,3,FALSE),VLOOKUP(C3,$E$96:$G$125,3,FALSE)),"N/A"))</f>
        <v/>
      </c>
      <c r="I93" s="19"/>
      <c r="J93" s="19"/>
    </row>
    <row r="94" spans="1:11" x14ac:dyDescent="0.25">
      <c r="A94" s="56" t="str">
        <f>IFERROR(_xlfn.NUMBERVALUE(RIGHT(LEFT(D27,FIND("~",SUBSTITUTE(D27,"DC Capacity","~",1))-1),LEN(LEFT(D27,FIND("~",SUBSTITUTE(D27,"DC Capacity","~",1))-1))-FIND("~",SUBSTITUTE(D27,":","~",1))-1)),"")</f>
        <v/>
      </c>
      <c r="B94" s="97"/>
      <c r="C94" s="98"/>
      <c r="D94" s="98"/>
      <c r="H94" s="87" t="str">
        <f>IFERROR(IF(LEN(D5)&gt;3910,"REJECTION NOTE TOO LONG",""),"")</f>
        <v/>
      </c>
    </row>
    <row r="95" spans="1:11" x14ac:dyDescent="0.25">
      <c r="A95" s="56" t="str">
        <f>IFERROR(_xlfn.NUMBERVALUE(RIGHT(D27,LEN(D27)-FIND("~",SUBSTITUTE(D27,":","~",2))-1)),"")</f>
        <v/>
      </c>
      <c r="B95" s="104" t="s">
        <v>291</v>
      </c>
      <c r="C95" s="26" t="s">
        <v>296</v>
      </c>
      <c r="D95" s="26" t="s">
        <v>298</v>
      </c>
      <c r="E95" s="26" t="s">
        <v>291</v>
      </c>
      <c r="F95" s="26" t="s">
        <v>296</v>
      </c>
      <c r="G95" s="26" t="s">
        <v>298</v>
      </c>
    </row>
    <row r="96" spans="1:11" x14ac:dyDescent="0.25">
      <c r="A96" s="96"/>
      <c r="B96" s="104" t="s">
        <v>257</v>
      </c>
      <c r="C96" s="26" t="s">
        <v>258</v>
      </c>
      <c r="D96" s="26" t="s">
        <v>261</v>
      </c>
      <c r="E96" s="26" t="s">
        <v>257</v>
      </c>
      <c r="F96" s="26" t="s">
        <v>358</v>
      </c>
      <c r="G96" s="26" t="s">
        <v>305</v>
      </c>
    </row>
    <row r="97" spans="1:8" x14ac:dyDescent="0.25">
      <c r="A97" s="96"/>
      <c r="B97" s="104" t="s">
        <v>302</v>
      </c>
      <c r="C97" s="26" t="s">
        <v>373</v>
      </c>
      <c r="D97" s="26" t="str">
        <f>IF($A$94&lt;10,"2S ERT","2S DEM ERT")</f>
        <v>2S DEM ERT</v>
      </c>
      <c r="E97" s="26" t="s">
        <v>302</v>
      </c>
      <c r="F97" s="26" t="s">
        <v>373</v>
      </c>
      <c r="G97" s="26" t="s">
        <v>305</v>
      </c>
    </row>
    <row r="98" spans="1:8" x14ac:dyDescent="0.25">
      <c r="A98" s="96"/>
      <c r="B98" s="104" t="s">
        <v>299</v>
      </c>
      <c r="C98" s="26" t="s">
        <v>372</v>
      </c>
      <c r="D98" s="26" t="s">
        <v>299</v>
      </c>
      <c r="E98" s="26" t="s">
        <v>299</v>
      </c>
      <c r="F98" s="26" t="s">
        <v>372</v>
      </c>
      <c r="G98" s="26" t="s">
        <v>299</v>
      </c>
    </row>
    <row r="99" spans="1:8" x14ac:dyDescent="0.25">
      <c r="A99" s="96"/>
      <c r="B99" s="104" t="s">
        <v>306</v>
      </c>
      <c r="C99" s="26" t="s">
        <v>307</v>
      </c>
      <c r="D99" s="26" t="s">
        <v>261</v>
      </c>
      <c r="E99" s="26" t="s">
        <v>306</v>
      </c>
      <c r="F99" s="26" t="s">
        <v>307</v>
      </c>
      <c r="G99" s="26" t="s">
        <v>261</v>
      </c>
    </row>
    <row r="100" spans="1:8" ht="41.25" customHeight="1" x14ac:dyDescent="0.25">
      <c r="B100" s="104" t="s">
        <v>311</v>
      </c>
      <c r="C100" s="26" t="s">
        <v>310</v>
      </c>
      <c r="D100" s="26" t="s">
        <v>261</v>
      </c>
      <c r="E100" s="26" t="s">
        <v>311</v>
      </c>
      <c r="F100" s="26" t="s">
        <v>310</v>
      </c>
      <c r="G100" s="26" t="s">
        <v>261</v>
      </c>
      <c r="H100" s="101" t="str">
        <f>IF(C1="","",IFERROR(D5,"FIX CELL D5"))</f>
        <v/>
      </c>
    </row>
    <row r="101" spans="1:8" x14ac:dyDescent="0.25">
      <c r="B101" s="104" t="s">
        <v>312</v>
      </c>
      <c r="C101" s="104" t="s">
        <v>312</v>
      </c>
      <c r="D101" s="104" t="s">
        <v>312</v>
      </c>
      <c r="E101" s="26" t="s">
        <v>312</v>
      </c>
      <c r="F101" s="26" t="s">
        <v>312</v>
      </c>
      <c r="G101" s="26" t="s">
        <v>312</v>
      </c>
    </row>
    <row r="102" spans="1:8" x14ac:dyDescent="0.25">
      <c r="B102" s="104" t="s">
        <v>313</v>
      </c>
      <c r="C102" s="26" t="s">
        <v>315</v>
      </c>
      <c r="D102" s="26" t="s">
        <v>261</v>
      </c>
      <c r="E102" s="26" t="s">
        <v>313</v>
      </c>
      <c r="F102" s="26" t="s">
        <v>429</v>
      </c>
      <c r="G102" s="26" t="s">
        <v>305</v>
      </c>
    </row>
    <row r="103" spans="1:8" x14ac:dyDescent="0.25">
      <c r="B103" s="104" t="s">
        <v>314</v>
      </c>
      <c r="C103" s="26" t="s">
        <v>316</v>
      </c>
      <c r="D103" s="26" t="s">
        <v>305</v>
      </c>
      <c r="E103" s="26" t="s">
        <v>314</v>
      </c>
      <c r="F103" s="26" t="s">
        <v>316</v>
      </c>
      <c r="G103" s="26" t="s">
        <v>305</v>
      </c>
    </row>
    <row r="104" spans="1:8" x14ac:dyDescent="0.25">
      <c r="B104" s="104" t="s">
        <v>319</v>
      </c>
      <c r="C104" s="26" t="s">
        <v>321</v>
      </c>
      <c r="D104" s="26" t="s">
        <v>318</v>
      </c>
      <c r="E104" s="26" t="s">
        <v>319</v>
      </c>
      <c r="F104" s="26" t="s">
        <v>321</v>
      </c>
      <c r="G104" s="26" t="s">
        <v>318</v>
      </c>
    </row>
    <row r="105" spans="1:8" x14ac:dyDescent="0.25">
      <c r="B105" s="104" t="s">
        <v>317</v>
      </c>
      <c r="C105" s="26" t="s">
        <v>309</v>
      </c>
      <c r="D105" s="26" t="s">
        <v>318</v>
      </c>
      <c r="E105" s="26" t="s">
        <v>317</v>
      </c>
      <c r="F105" s="26" t="s">
        <v>309</v>
      </c>
      <c r="G105" s="26" t="s">
        <v>318</v>
      </c>
    </row>
    <row r="106" spans="1:8" x14ac:dyDescent="0.25">
      <c r="B106" s="104" t="s">
        <v>322</v>
      </c>
      <c r="C106" s="26" t="s">
        <v>325</v>
      </c>
      <c r="D106" s="26" t="s">
        <v>261</v>
      </c>
      <c r="E106" s="26" t="s">
        <v>322</v>
      </c>
      <c r="F106" s="26" t="s">
        <v>323</v>
      </c>
      <c r="G106" s="26" t="s">
        <v>305</v>
      </c>
    </row>
    <row r="107" spans="1:8" x14ac:dyDescent="0.25">
      <c r="B107" s="104" t="s">
        <v>324</v>
      </c>
      <c r="C107" s="26" t="s">
        <v>323</v>
      </c>
      <c r="D107" s="26" t="s">
        <v>305</v>
      </c>
      <c r="E107" s="26" t="s">
        <v>324</v>
      </c>
      <c r="F107" s="26" t="s">
        <v>323</v>
      </c>
      <c r="G107" s="26" t="s">
        <v>305</v>
      </c>
    </row>
    <row r="108" spans="1:8" x14ac:dyDescent="0.25">
      <c r="B108" s="104" t="s">
        <v>357</v>
      </c>
      <c r="C108" s="26" t="s">
        <v>358</v>
      </c>
      <c r="D108" s="26" t="s">
        <v>305</v>
      </c>
      <c r="E108" s="26" t="s">
        <v>357</v>
      </c>
      <c r="F108" s="26" t="s">
        <v>358</v>
      </c>
      <c r="G108" s="26" t="s">
        <v>305</v>
      </c>
    </row>
    <row r="109" spans="1:8" x14ac:dyDescent="0.25">
      <c r="B109" s="104" t="s">
        <v>397</v>
      </c>
      <c r="C109" s="26" t="s">
        <v>400</v>
      </c>
      <c r="D109" s="26" t="s">
        <v>401</v>
      </c>
      <c r="E109" s="26" t="s">
        <v>397</v>
      </c>
      <c r="F109" s="26" t="s">
        <v>400</v>
      </c>
      <c r="G109" s="26" t="s">
        <v>401</v>
      </c>
    </row>
    <row r="110" spans="1:8" x14ac:dyDescent="0.25">
      <c r="B110" s="104" t="s">
        <v>398</v>
      </c>
      <c r="C110" s="26" t="s">
        <v>400</v>
      </c>
      <c r="D110" s="26" t="s">
        <v>401</v>
      </c>
      <c r="E110" s="26" t="s">
        <v>398</v>
      </c>
      <c r="F110" s="26" t="s">
        <v>400</v>
      </c>
      <c r="G110" s="26" t="s">
        <v>401</v>
      </c>
    </row>
    <row r="111" spans="1:8" x14ac:dyDescent="0.25">
      <c r="B111" s="104" t="s">
        <v>399</v>
      </c>
      <c r="C111" s="26" t="s">
        <v>400</v>
      </c>
      <c r="D111" s="26" t="s">
        <v>401</v>
      </c>
      <c r="E111" s="26" t="s">
        <v>399</v>
      </c>
      <c r="F111" s="26" t="s">
        <v>400</v>
      </c>
      <c r="G111" s="26" t="s">
        <v>401</v>
      </c>
    </row>
    <row r="112" spans="1:8" ht="30" x14ac:dyDescent="0.25">
      <c r="B112" s="104" t="s">
        <v>402</v>
      </c>
      <c r="C112" s="26" t="s">
        <v>403</v>
      </c>
      <c r="D112" s="26" t="s">
        <v>261</v>
      </c>
      <c r="E112" s="26" t="s">
        <v>402</v>
      </c>
      <c r="F112" s="26" t="s">
        <v>403</v>
      </c>
      <c r="G112" s="26" t="s">
        <v>261</v>
      </c>
    </row>
    <row r="113" spans="2:7" x14ac:dyDescent="0.25">
      <c r="B113" s="104" t="s">
        <v>404</v>
      </c>
      <c r="C113" s="26" t="s">
        <v>405</v>
      </c>
      <c r="D113" s="26" t="s">
        <v>401</v>
      </c>
      <c r="E113" s="26" t="s">
        <v>404</v>
      </c>
      <c r="F113" s="26" t="s">
        <v>405</v>
      </c>
      <c r="G113" s="26" t="s">
        <v>401</v>
      </c>
    </row>
    <row r="114" spans="2:7" x14ac:dyDescent="0.25">
      <c r="B114" s="104" t="s">
        <v>406</v>
      </c>
      <c r="C114" s="26" t="s">
        <v>405</v>
      </c>
      <c r="D114" s="26" t="s">
        <v>401</v>
      </c>
      <c r="E114" s="26" t="s">
        <v>406</v>
      </c>
      <c r="F114" s="26" t="s">
        <v>405</v>
      </c>
      <c r="G114" s="26" t="s">
        <v>401</v>
      </c>
    </row>
    <row r="115" spans="2:7" x14ac:dyDescent="0.25">
      <c r="B115" s="104" t="s">
        <v>407</v>
      </c>
      <c r="C115" s="26" t="s">
        <v>405</v>
      </c>
      <c r="D115" s="26" t="s">
        <v>401</v>
      </c>
      <c r="E115" s="26" t="s">
        <v>407</v>
      </c>
      <c r="F115" s="26" t="s">
        <v>405</v>
      </c>
      <c r="G115" s="26" t="s">
        <v>401</v>
      </c>
    </row>
    <row r="116" spans="2:7" x14ac:dyDescent="0.25">
      <c r="B116" s="104" t="s">
        <v>425</v>
      </c>
      <c r="C116" s="26" t="s">
        <v>426</v>
      </c>
      <c r="D116" s="26" t="s">
        <v>305</v>
      </c>
      <c r="E116" s="26" t="s">
        <v>425</v>
      </c>
      <c r="F116" s="26" t="s">
        <v>426</v>
      </c>
      <c r="G116" s="26" t="s">
        <v>305</v>
      </c>
    </row>
    <row r="117" spans="2:7" x14ac:dyDescent="0.25">
      <c r="B117" s="104" t="s">
        <v>427</v>
      </c>
      <c r="C117" s="26" t="s">
        <v>429</v>
      </c>
      <c r="D117" s="26" t="s">
        <v>305</v>
      </c>
      <c r="E117" s="26" t="s">
        <v>427</v>
      </c>
      <c r="F117" s="26" t="s">
        <v>429</v>
      </c>
      <c r="G117" s="26" t="s">
        <v>305</v>
      </c>
    </row>
    <row r="118" spans="2:7" ht="30" x14ac:dyDescent="0.25">
      <c r="B118" s="104" t="s">
        <v>428</v>
      </c>
      <c r="C118" s="26" t="s">
        <v>429</v>
      </c>
      <c r="D118" s="26" t="s">
        <v>305</v>
      </c>
      <c r="E118" s="26" t="s">
        <v>428</v>
      </c>
      <c r="F118" s="26" t="s">
        <v>429</v>
      </c>
      <c r="G118" s="26" t="s">
        <v>305</v>
      </c>
    </row>
    <row r="119" spans="2:7" x14ac:dyDescent="0.25">
      <c r="B119" s="104" t="s">
        <v>5</v>
      </c>
      <c r="C119" s="26" t="s">
        <v>5</v>
      </c>
      <c r="D119" s="26" t="s">
        <v>5</v>
      </c>
      <c r="E119" s="26" t="s">
        <v>5</v>
      </c>
      <c r="F119" s="26" t="s">
        <v>5</v>
      </c>
      <c r="G119" s="26" t="s">
        <v>5</v>
      </c>
    </row>
    <row r="120" spans="2:7" x14ac:dyDescent="0.25">
      <c r="B120" s="97"/>
      <c r="C120" s="98"/>
      <c r="D120" s="98"/>
      <c r="E120" s="98"/>
      <c r="F120" s="98"/>
    </row>
    <row r="121" spans="2:7" x14ac:dyDescent="0.25">
      <c r="B121" s="97"/>
      <c r="C121" s="98"/>
      <c r="D121" s="98"/>
      <c r="E121" s="98"/>
      <c r="F121" s="98"/>
    </row>
    <row r="122" spans="2:7" x14ac:dyDescent="0.25">
      <c r="B122" s="97"/>
      <c r="C122" s="98"/>
      <c r="D122" s="98"/>
      <c r="E122" s="98"/>
      <c r="F122" s="98"/>
    </row>
    <row r="123" spans="2:7" x14ac:dyDescent="0.25">
      <c r="B123" s="97"/>
      <c r="C123" s="98"/>
      <c r="D123" s="98"/>
      <c r="E123" s="98"/>
      <c r="F123" s="98"/>
    </row>
    <row r="124" spans="2:7" x14ac:dyDescent="0.25">
      <c r="B124" s="97"/>
      <c r="C124" s="98"/>
      <c r="D124" s="98"/>
      <c r="E124" s="98"/>
      <c r="F124" s="98"/>
    </row>
    <row r="125" spans="2:7" x14ac:dyDescent="0.25">
      <c r="B125" s="97"/>
      <c r="C125" s="98"/>
      <c r="D125" s="98"/>
      <c r="E125" s="98"/>
      <c r="F125" s="98"/>
    </row>
    <row r="126" spans="2:7" x14ac:dyDescent="0.25">
      <c r="B126" s="97"/>
      <c r="C126" s="98"/>
      <c r="D126" s="98"/>
      <c r="E126" s="98"/>
      <c r="F126" s="98"/>
    </row>
    <row r="127" spans="2:7" x14ac:dyDescent="0.25">
      <c r="B127" s="97"/>
      <c r="C127" s="98"/>
      <c r="D127" s="98"/>
      <c r="E127" s="98"/>
      <c r="F127" s="98"/>
    </row>
    <row r="128" spans="2:7" x14ac:dyDescent="0.25">
      <c r="B128" s="97"/>
      <c r="C128" s="98"/>
      <c r="D128" s="98"/>
      <c r="E128" s="98"/>
      <c r="F128" s="98"/>
    </row>
    <row r="129" spans="2:6" x14ac:dyDescent="0.25">
      <c r="B129" s="97"/>
      <c r="C129" s="98"/>
      <c r="D129" s="98"/>
      <c r="E129" s="98"/>
      <c r="F129" s="98"/>
    </row>
    <row r="130" spans="2:6" x14ac:dyDescent="0.25">
      <c r="B130" s="97"/>
      <c r="C130" s="98"/>
      <c r="D130" s="98"/>
      <c r="E130" s="98"/>
      <c r="F130" s="98"/>
    </row>
    <row r="131" spans="2:6" x14ac:dyDescent="0.25">
      <c r="B131" s="97"/>
      <c r="C131" s="98"/>
      <c r="D131" s="98"/>
      <c r="E131" s="98"/>
      <c r="F131" s="98"/>
    </row>
    <row r="132" spans="2:6" x14ac:dyDescent="0.25">
      <c r="B132" s="97"/>
      <c r="C132" s="98"/>
      <c r="D132" s="98"/>
      <c r="E132" s="98"/>
      <c r="F132" s="98"/>
    </row>
    <row r="133" spans="2:6" x14ac:dyDescent="0.25">
      <c r="B133" s="97"/>
      <c r="C133" s="98"/>
      <c r="D133" s="98"/>
      <c r="E133" s="98"/>
      <c r="F133" s="98"/>
    </row>
    <row r="134" spans="2:6" x14ac:dyDescent="0.25">
      <c r="B134" s="97"/>
      <c r="C134" s="98"/>
      <c r="D134" s="98"/>
      <c r="E134" s="98"/>
      <c r="F134" s="98"/>
    </row>
    <row r="135" spans="2:6" x14ac:dyDescent="0.25">
      <c r="B135" s="97"/>
      <c r="C135" s="98"/>
      <c r="D135" s="98"/>
      <c r="E135" s="98"/>
      <c r="F135" s="98"/>
    </row>
    <row r="136" spans="2:6" x14ac:dyDescent="0.25">
      <c r="B136" s="97"/>
      <c r="C136" s="98"/>
      <c r="D136" s="98"/>
      <c r="E136" s="98"/>
      <c r="F136" s="98"/>
    </row>
    <row r="137" spans="2:6" x14ac:dyDescent="0.25">
      <c r="B137" s="97"/>
      <c r="C137" s="98"/>
      <c r="D137" s="98"/>
      <c r="E137" s="98"/>
      <c r="F137" s="98"/>
    </row>
    <row r="138" spans="2:6" x14ac:dyDescent="0.25">
      <c r="B138" s="97"/>
      <c r="C138" s="98"/>
      <c r="D138" s="98"/>
      <c r="E138" s="98"/>
      <c r="F138" s="98"/>
    </row>
    <row r="139" spans="2:6" x14ac:dyDescent="0.25">
      <c r="B139" s="97"/>
      <c r="C139" s="98"/>
      <c r="D139" s="98"/>
      <c r="E139" s="98"/>
      <c r="F139" s="98"/>
    </row>
    <row r="140" spans="2:6" x14ac:dyDescent="0.25">
      <c r="B140" s="97"/>
      <c r="C140" s="98"/>
      <c r="D140" s="98"/>
      <c r="E140" s="98"/>
      <c r="F140" s="98"/>
    </row>
    <row r="141" spans="2:6" x14ac:dyDescent="0.25">
      <c r="B141" s="97"/>
      <c r="C141" s="98"/>
      <c r="D141" s="98"/>
      <c r="E141" s="98"/>
      <c r="F141" s="98"/>
    </row>
    <row r="142" spans="2:6" x14ac:dyDescent="0.25">
      <c r="B142" s="97"/>
      <c r="C142" s="98"/>
      <c r="D142" s="98"/>
      <c r="E142" s="98"/>
      <c r="F142" s="98"/>
    </row>
    <row r="143" spans="2:6" x14ac:dyDescent="0.25">
      <c r="B143" s="97"/>
      <c r="C143" s="98"/>
      <c r="D143" s="98"/>
      <c r="E143" s="98"/>
      <c r="F143" s="98"/>
    </row>
    <row r="144" spans="2:6" x14ac:dyDescent="0.25">
      <c r="B144" s="97"/>
      <c r="C144" s="98"/>
      <c r="D144" s="98"/>
      <c r="E144" s="98"/>
      <c r="F144" s="98"/>
    </row>
    <row r="145" spans="2:6" x14ac:dyDescent="0.25">
      <c r="B145" s="97"/>
      <c r="C145" s="98"/>
      <c r="D145" s="98"/>
      <c r="E145" s="98"/>
      <c r="F145" s="98"/>
    </row>
    <row r="146" spans="2:6" x14ac:dyDescent="0.25">
      <c r="B146" s="97"/>
      <c r="C146" s="98"/>
      <c r="D146" s="98"/>
      <c r="E146" s="98"/>
      <c r="F146" s="98"/>
    </row>
    <row r="147" spans="2:6" x14ac:dyDescent="0.25">
      <c r="B147" s="97"/>
      <c r="C147" s="98"/>
      <c r="D147" s="98"/>
      <c r="E147" s="98"/>
      <c r="F147" s="98"/>
    </row>
    <row r="148" spans="2:6" x14ac:dyDescent="0.25">
      <c r="B148" s="97"/>
      <c r="C148" s="98"/>
      <c r="D148" s="98"/>
      <c r="E148" s="98"/>
      <c r="F148" s="98"/>
    </row>
    <row r="149" spans="2:6" x14ac:dyDescent="0.25">
      <c r="B149" s="97"/>
      <c r="C149" s="98"/>
      <c r="D149" s="98"/>
      <c r="E149" s="98"/>
      <c r="F149" s="98"/>
    </row>
    <row r="150" spans="2:6" x14ac:dyDescent="0.25">
      <c r="B150" s="97"/>
      <c r="C150" s="98"/>
      <c r="D150" s="98"/>
      <c r="E150" s="98"/>
      <c r="F150" s="98"/>
    </row>
    <row r="151" spans="2:6" x14ac:dyDescent="0.25">
      <c r="B151" s="97"/>
      <c r="C151" s="98"/>
      <c r="D151" s="98"/>
      <c r="E151" s="98"/>
      <c r="F151" s="98"/>
    </row>
    <row r="152" spans="2:6" x14ac:dyDescent="0.25">
      <c r="B152" s="97"/>
      <c r="C152" s="98"/>
      <c r="D152" s="98"/>
      <c r="E152" s="98"/>
      <c r="F152" s="98"/>
    </row>
    <row r="153" spans="2:6" x14ac:dyDescent="0.25">
      <c r="B153" s="97"/>
      <c r="C153" s="98"/>
      <c r="D153" s="98"/>
      <c r="E153" s="98"/>
      <c r="F153" s="98"/>
    </row>
    <row r="154" spans="2:6" x14ac:dyDescent="0.25">
      <c r="B154" s="97"/>
      <c r="C154" s="98"/>
      <c r="D154" s="98"/>
      <c r="E154" s="98"/>
      <c r="F154" s="98"/>
    </row>
    <row r="155" spans="2:6" x14ac:dyDescent="0.25">
      <c r="B155" s="97"/>
      <c r="C155" s="98"/>
      <c r="D155" s="98"/>
      <c r="E155" s="98"/>
      <c r="F155" s="98"/>
    </row>
    <row r="156" spans="2:6" x14ac:dyDescent="0.25">
      <c r="B156" s="97"/>
      <c r="C156" s="98"/>
      <c r="D156" s="98"/>
      <c r="E156" s="98"/>
      <c r="F156" s="98"/>
    </row>
    <row r="157" spans="2:6" x14ac:dyDescent="0.25">
      <c r="B157" s="97"/>
      <c r="C157" s="98"/>
      <c r="D157" s="98"/>
      <c r="E157" s="98"/>
      <c r="F157" s="98"/>
    </row>
    <row r="158" spans="2:6" x14ac:dyDescent="0.25">
      <c r="B158" s="97"/>
      <c r="C158" s="98"/>
      <c r="D158" s="98"/>
      <c r="E158" s="98"/>
      <c r="F158" s="98"/>
    </row>
    <row r="159" spans="2:6" x14ac:dyDescent="0.25">
      <c r="B159" s="97"/>
      <c r="C159" s="98"/>
      <c r="D159" s="98"/>
      <c r="E159" s="98"/>
      <c r="F159" s="98"/>
    </row>
    <row r="160" spans="2:6" x14ac:dyDescent="0.25">
      <c r="B160" s="97"/>
      <c r="C160" s="98"/>
      <c r="D160" s="98"/>
      <c r="E160" s="98"/>
      <c r="F160" s="98"/>
    </row>
    <row r="161" spans="2:6" x14ac:dyDescent="0.25">
      <c r="B161" s="97"/>
      <c r="C161" s="98"/>
      <c r="D161" s="98"/>
      <c r="E161" s="98"/>
      <c r="F161" s="98"/>
    </row>
    <row r="162" spans="2:6" x14ac:dyDescent="0.25">
      <c r="B162" s="97"/>
      <c r="C162" s="98"/>
      <c r="D162" s="98"/>
      <c r="E162" s="98"/>
      <c r="F162" s="98"/>
    </row>
    <row r="163" spans="2:6" x14ac:dyDescent="0.25">
      <c r="B163" s="97"/>
      <c r="C163" s="98"/>
      <c r="D163" s="98"/>
      <c r="E163" s="98"/>
      <c r="F163" s="98"/>
    </row>
    <row r="164" spans="2:6" x14ac:dyDescent="0.25">
      <c r="B164" s="97"/>
      <c r="C164" s="98"/>
      <c r="D164" s="98"/>
      <c r="E164" s="98"/>
      <c r="F164" s="98"/>
    </row>
    <row r="165" spans="2:6" x14ac:dyDescent="0.25">
      <c r="B165" s="97"/>
      <c r="C165" s="98"/>
      <c r="D165" s="98"/>
      <c r="E165" s="98"/>
      <c r="F165" s="98"/>
    </row>
    <row r="166" spans="2:6" x14ac:dyDescent="0.25">
      <c r="B166" s="97"/>
      <c r="C166" s="98"/>
      <c r="D166" s="98"/>
      <c r="E166" s="98"/>
      <c r="F166" s="98"/>
    </row>
    <row r="167" spans="2:6" x14ac:dyDescent="0.25">
      <c r="B167" s="97"/>
      <c r="C167" s="98"/>
      <c r="D167" s="98"/>
      <c r="E167" s="98"/>
      <c r="F167" s="98"/>
    </row>
    <row r="168" spans="2:6" x14ac:dyDescent="0.25">
      <c r="B168" s="97"/>
      <c r="C168" s="98"/>
      <c r="D168" s="98"/>
      <c r="E168" s="98"/>
      <c r="F168" s="98"/>
    </row>
    <row r="169" spans="2:6" x14ac:dyDescent="0.25">
      <c r="B169" s="97"/>
      <c r="C169" s="98"/>
      <c r="D169" s="98"/>
      <c r="E169" s="98"/>
      <c r="F169" s="98"/>
    </row>
    <row r="170" spans="2:6" x14ac:dyDescent="0.25">
      <c r="B170" s="97"/>
      <c r="C170" s="98"/>
      <c r="D170" s="98"/>
      <c r="E170" s="98"/>
      <c r="F170" s="98"/>
    </row>
    <row r="171" spans="2:6" x14ac:dyDescent="0.25">
      <c r="B171" s="97"/>
      <c r="C171" s="98"/>
      <c r="D171" s="98"/>
      <c r="E171" s="98"/>
      <c r="F171" s="98"/>
    </row>
    <row r="172" spans="2:6" x14ac:dyDescent="0.25">
      <c r="B172" s="97"/>
      <c r="C172" s="98"/>
      <c r="D172" s="98"/>
      <c r="E172" s="98"/>
      <c r="F172" s="98"/>
    </row>
    <row r="173" spans="2:6" x14ac:dyDescent="0.25">
      <c r="B173" s="97"/>
      <c r="C173" s="98"/>
      <c r="D173" s="98"/>
      <c r="E173" s="98"/>
      <c r="F173" s="98"/>
    </row>
    <row r="174" spans="2:6" x14ac:dyDescent="0.25">
      <c r="B174" s="97"/>
      <c r="C174" s="98"/>
      <c r="D174" s="98"/>
      <c r="E174" s="98"/>
      <c r="F174" s="98"/>
    </row>
    <row r="175" spans="2:6" x14ac:dyDescent="0.25">
      <c r="B175" s="97"/>
      <c r="C175" s="98"/>
      <c r="D175" s="98"/>
      <c r="E175" s="98"/>
      <c r="F175" s="98"/>
    </row>
    <row r="176" spans="2:6" x14ac:dyDescent="0.25">
      <c r="B176" s="97"/>
      <c r="C176" s="98"/>
      <c r="D176" s="98"/>
      <c r="E176" s="98"/>
      <c r="F176" s="98"/>
    </row>
    <row r="177" spans="2:6" x14ac:dyDescent="0.25">
      <c r="B177" s="97"/>
      <c r="C177" s="98"/>
      <c r="D177" s="98"/>
      <c r="E177" s="98"/>
      <c r="F177" s="98"/>
    </row>
    <row r="178" spans="2:6" x14ac:dyDescent="0.25">
      <c r="B178" s="97"/>
      <c r="C178" s="98"/>
      <c r="D178" s="98"/>
      <c r="E178" s="98"/>
      <c r="F178" s="98"/>
    </row>
    <row r="179" spans="2:6" x14ac:dyDescent="0.25">
      <c r="B179" s="97"/>
      <c r="C179" s="98"/>
      <c r="D179" s="98"/>
      <c r="E179" s="98"/>
      <c r="F179" s="98"/>
    </row>
    <row r="180" spans="2:6" x14ac:dyDescent="0.25">
      <c r="B180" s="97"/>
      <c r="C180" s="98"/>
      <c r="D180" s="98"/>
      <c r="E180" s="98"/>
      <c r="F180" s="98"/>
    </row>
    <row r="181" spans="2:6" x14ac:dyDescent="0.25">
      <c r="B181" s="97"/>
      <c r="C181" s="98"/>
      <c r="D181" s="98"/>
      <c r="E181" s="98"/>
      <c r="F181" s="98"/>
    </row>
    <row r="182" spans="2:6" x14ac:dyDescent="0.25">
      <c r="B182" s="97"/>
      <c r="C182" s="98"/>
      <c r="D182" s="98"/>
      <c r="E182" s="98"/>
      <c r="F182" s="98"/>
    </row>
    <row r="183" spans="2:6" x14ac:dyDescent="0.25">
      <c r="B183" s="97"/>
      <c r="C183" s="98"/>
      <c r="D183" s="98"/>
      <c r="E183" s="98"/>
      <c r="F183" s="98"/>
    </row>
    <row r="184" spans="2:6" x14ac:dyDescent="0.25">
      <c r="B184" s="97"/>
      <c r="C184" s="98"/>
      <c r="D184" s="98"/>
      <c r="E184" s="98"/>
      <c r="F184" s="98"/>
    </row>
    <row r="185" spans="2:6" x14ac:dyDescent="0.25">
      <c r="B185" s="97"/>
      <c r="C185" s="98"/>
      <c r="D185" s="98"/>
      <c r="E185" s="98"/>
      <c r="F185" s="98"/>
    </row>
    <row r="186" spans="2:6" x14ac:dyDescent="0.25">
      <c r="B186" s="97"/>
      <c r="C186" s="98"/>
      <c r="D186" s="98"/>
      <c r="E186" s="98"/>
      <c r="F186" s="98"/>
    </row>
    <row r="187" spans="2:6" x14ac:dyDescent="0.25">
      <c r="B187" s="97"/>
      <c r="C187" s="98"/>
      <c r="D187" s="98"/>
      <c r="E187" s="98"/>
      <c r="F187" s="98"/>
    </row>
    <row r="188" spans="2:6" x14ac:dyDescent="0.25">
      <c r="B188" s="97"/>
      <c r="C188" s="98"/>
      <c r="D188" s="98"/>
      <c r="E188" s="98"/>
      <c r="F188" s="98"/>
    </row>
    <row r="189" spans="2:6" x14ac:dyDescent="0.25">
      <c r="B189" s="97"/>
      <c r="C189" s="98"/>
      <c r="D189" s="98"/>
      <c r="E189" s="98"/>
      <c r="F189" s="98"/>
    </row>
    <row r="190" spans="2:6" x14ac:dyDescent="0.25">
      <c r="B190" s="97"/>
      <c r="C190" s="98"/>
      <c r="D190" s="98"/>
      <c r="E190" s="98"/>
      <c r="F190" s="98"/>
    </row>
    <row r="191" spans="2:6" x14ac:dyDescent="0.25">
      <c r="B191" s="97"/>
      <c r="C191" s="98"/>
      <c r="D191" s="98"/>
      <c r="E191" s="98"/>
      <c r="F191" s="98"/>
    </row>
    <row r="192" spans="2:6" x14ac:dyDescent="0.25">
      <c r="B192" s="97"/>
      <c r="C192" s="98"/>
      <c r="D192" s="98"/>
      <c r="E192" s="98"/>
      <c r="F192" s="98"/>
    </row>
    <row r="193" spans="2:6" x14ac:dyDescent="0.25">
      <c r="B193" s="97"/>
      <c r="C193" s="98"/>
      <c r="D193" s="98"/>
      <c r="E193" s="98"/>
      <c r="F193" s="98"/>
    </row>
    <row r="194" spans="2:6" x14ac:dyDescent="0.25">
      <c r="B194" s="97"/>
      <c r="C194" s="98"/>
      <c r="D194" s="98"/>
      <c r="E194" s="98"/>
      <c r="F194" s="98"/>
    </row>
    <row r="195" spans="2:6" x14ac:dyDescent="0.25">
      <c r="B195" s="97"/>
      <c r="C195" s="98"/>
      <c r="D195" s="98"/>
      <c r="E195" s="98"/>
      <c r="F195" s="98"/>
    </row>
    <row r="196" spans="2:6" x14ac:dyDescent="0.25">
      <c r="B196" s="97"/>
      <c r="C196" s="98"/>
      <c r="D196" s="98"/>
      <c r="E196" s="98"/>
      <c r="F196" s="98"/>
    </row>
    <row r="197" spans="2:6" x14ac:dyDescent="0.25">
      <c r="B197" s="97"/>
      <c r="C197" s="98"/>
      <c r="D197" s="98"/>
      <c r="E197" s="98"/>
      <c r="F197" s="98"/>
    </row>
    <row r="198" spans="2:6" x14ac:dyDescent="0.25">
      <c r="B198" s="97"/>
      <c r="C198" s="98"/>
      <c r="D198" s="98"/>
      <c r="E198" s="98"/>
      <c r="F198" s="98"/>
    </row>
    <row r="199" spans="2:6" x14ac:dyDescent="0.25">
      <c r="B199" s="97"/>
      <c r="C199" s="98"/>
      <c r="D199" s="98"/>
      <c r="E199" s="98"/>
      <c r="F199" s="98"/>
    </row>
    <row r="200" spans="2:6" x14ac:dyDescent="0.25">
      <c r="B200" s="97"/>
      <c r="C200" s="98"/>
      <c r="D200" s="98"/>
      <c r="E200" s="98"/>
      <c r="F200" s="98"/>
    </row>
    <row r="201" spans="2:6" x14ac:dyDescent="0.25">
      <c r="B201" s="97"/>
      <c r="C201" s="98"/>
      <c r="D201" s="98"/>
      <c r="E201" s="98"/>
      <c r="F201" s="98"/>
    </row>
    <row r="202" spans="2:6" x14ac:dyDescent="0.25">
      <c r="B202" s="97"/>
      <c r="C202" s="98"/>
      <c r="D202" s="98"/>
      <c r="E202" s="98"/>
      <c r="F202" s="98"/>
    </row>
    <row r="203" spans="2:6" x14ac:dyDescent="0.25">
      <c r="B203" s="97"/>
      <c r="C203" s="98"/>
      <c r="D203" s="98"/>
      <c r="E203" s="98"/>
      <c r="F203" s="98"/>
    </row>
    <row r="204" spans="2:6" x14ac:dyDescent="0.25">
      <c r="B204" s="97"/>
      <c r="C204" s="98"/>
      <c r="D204" s="98"/>
      <c r="E204" s="98"/>
      <c r="F204" s="98"/>
    </row>
    <row r="205" spans="2:6" x14ac:dyDescent="0.25">
      <c r="B205" s="97"/>
      <c r="C205" s="98"/>
      <c r="D205" s="98"/>
      <c r="E205" s="98"/>
      <c r="F205" s="98"/>
    </row>
    <row r="206" spans="2:6" x14ac:dyDescent="0.25">
      <c r="B206" s="97"/>
      <c r="C206" s="98"/>
      <c r="D206" s="98"/>
      <c r="E206" s="98"/>
      <c r="F206" s="98"/>
    </row>
    <row r="207" spans="2:6" x14ac:dyDescent="0.25">
      <c r="B207" s="97"/>
      <c r="C207" s="98"/>
      <c r="D207" s="98"/>
      <c r="E207" s="98"/>
      <c r="F207" s="98"/>
    </row>
    <row r="208" spans="2:6" x14ac:dyDescent="0.25">
      <c r="B208" s="97"/>
      <c r="C208" s="98"/>
      <c r="D208" s="98"/>
      <c r="E208" s="98"/>
      <c r="F208" s="98"/>
    </row>
    <row r="209" spans="2:6" x14ac:dyDescent="0.25">
      <c r="B209" s="97"/>
      <c r="C209" s="98"/>
      <c r="D209" s="98"/>
      <c r="E209" s="98"/>
      <c r="F209" s="98"/>
    </row>
    <row r="210" spans="2:6" x14ac:dyDescent="0.25">
      <c r="B210" s="97"/>
      <c r="C210" s="98"/>
      <c r="D210" s="98"/>
      <c r="E210" s="98"/>
      <c r="F210" s="98"/>
    </row>
    <row r="211" spans="2:6" x14ac:dyDescent="0.25">
      <c r="B211" s="97"/>
      <c r="C211" s="98"/>
      <c r="D211" s="98"/>
      <c r="E211" s="98"/>
      <c r="F211" s="98"/>
    </row>
    <row r="212" spans="2:6" x14ac:dyDescent="0.25">
      <c r="B212" s="97"/>
      <c r="C212" s="98"/>
      <c r="D212" s="98"/>
      <c r="E212" s="98"/>
      <c r="F212" s="98"/>
    </row>
    <row r="213" spans="2:6" x14ac:dyDescent="0.25">
      <c r="B213" s="97"/>
      <c r="C213" s="98"/>
      <c r="D213" s="98"/>
      <c r="E213" s="98"/>
      <c r="F213" s="98"/>
    </row>
    <row r="214" spans="2:6" x14ac:dyDescent="0.25">
      <c r="B214" s="97"/>
      <c r="C214" s="98"/>
      <c r="D214" s="98"/>
      <c r="E214" s="98"/>
      <c r="F214" s="98"/>
    </row>
    <row r="215" spans="2:6" x14ac:dyDescent="0.25">
      <c r="B215" s="97"/>
      <c r="C215" s="98"/>
      <c r="D215" s="98"/>
      <c r="E215" s="98"/>
      <c r="F215" s="98"/>
    </row>
    <row r="216" spans="2:6" x14ac:dyDescent="0.25">
      <c r="B216" s="97"/>
      <c r="C216" s="98"/>
      <c r="D216" s="98"/>
      <c r="E216" s="98"/>
      <c r="F216" s="98"/>
    </row>
    <row r="217" spans="2:6" x14ac:dyDescent="0.25">
      <c r="B217" s="97"/>
      <c r="C217" s="98"/>
      <c r="D217" s="98"/>
      <c r="E217" s="98"/>
      <c r="F217" s="98"/>
    </row>
    <row r="218" spans="2:6" x14ac:dyDescent="0.25">
      <c r="B218" s="97"/>
      <c r="C218" s="98"/>
      <c r="D218" s="98"/>
      <c r="E218" s="98"/>
      <c r="F218" s="98"/>
    </row>
    <row r="219" spans="2:6" x14ac:dyDescent="0.25">
      <c r="B219" s="97"/>
      <c r="C219" s="98"/>
      <c r="D219" s="98"/>
      <c r="E219" s="98"/>
      <c r="F219" s="98"/>
    </row>
    <row r="220" spans="2:6" x14ac:dyDescent="0.25">
      <c r="B220" s="97"/>
      <c r="C220" s="98"/>
      <c r="D220" s="98"/>
      <c r="E220" s="98"/>
      <c r="F220" s="98"/>
    </row>
    <row r="221" spans="2:6" x14ac:dyDescent="0.25">
      <c r="B221" s="97"/>
      <c r="C221" s="98"/>
      <c r="D221" s="98"/>
      <c r="E221" s="98"/>
      <c r="F221" s="98"/>
    </row>
    <row r="222" spans="2:6" x14ac:dyDescent="0.25">
      <c r="B222" s="97"/>
      <c r="C222" s="98"/>
      <c r="D222" s="98"/>
      <c r="E222" s="98"/>
      <c r="F222" s="98"/>
    </row>
    <row r="223" spans="2:6" x14ac:dyDescent="0.25">
      <c r="B223" s="97"/>
      <c r="C223" s="98"/>
      <c r="D223" s="98"/>
      <c r="E223" s="98"/>
      <c r="F223" s="98"/>
    </row>
    <row r="224" spans="2:6" x14ac:dyDescent="0.25">
      <c r="B224" s="97"/>
      <c r="C224" s="98"/>
      <c r="D224" s="98"/>
      <c r="E224" s="98"/>
      <c r="F224" s="98"/>
    </row>
    <row r="225" spans="2:6" x14ac:dyDescent="0.25">
      <c r="B225" s="97"/>
      <c r="C225" s="98"/>
      <c r="D225" s="98"/>
      <c r="E225" s="98"/>
      <c r="F225" s="98"/>
    </row>
    <row r="226" spans="2:6" x14ac:dyDescent="0.25">
      <c r="B226" s="97"/>
      <c r="C226" s="98"/>
      <c r="D226" s="98"/>
      <c r="E226" s="98"/>
      <c r="F226" s="98"/>
    </row>
    <row r="227" spans="2:6" x14ac:dyDescent="0.25">
      <c r="B227" s="97"/>
      <c r="C227" s="98"/>
      <c r="D227" s="98"/>
      <c r="E227" s="98"/>
      <c r="F227" s="98"/>
    </row>
    <row r="228" spans="2:6" x14ac:dyDescent="0.25">
      <c r="B228" s="97"/>
      <c r="C228" s="98"/>
      <c r="D228" s="98"/>
      <c r="E228" s="98"/>
      <c r="F228" s="98"/>
    </row>
    <row r="229" spans="2:6" x14ac:dyDescent="0.25">
      <c r="B229" s="97"/>
      <c r="C229" s="98"/>
      <c r="D229" s="98"/>
      <c r="E229" s="98"/>
      <c r="F229" s="98"/>
    </row>
    <row r="230" spans="2:6" x14ac:dyDescent="0.25">
      <c r="B230" s="97"/>
      <c r="C230" s="98"/>
      <c r="D230" s="98"/>
      <c r="E230" s="98"/>
      <c r="F230" s="98"/>
    </row>
    <row r="231" spans="2:6" x14ac:dyDescent="0.25">
      <c r="B231" s="97"/>
      <c r="C231" s="98"/>
      <c r="D231" s="98"/>
      <c r="E231" s="98"/>
      <c r="F231" s="98"/>
    </row>
    <row r="232" spans="2:6" x14ac:dyDescent="0.25">
      <c r="B232" s="97"/>
      <c r="C232" s="98"/>
      <c r="D232" s="98"/>
      <c r="E232" s="98"/>
      <c r="F232" s="98"/>
    </row>
    <row r="233" spans="2:6" x14ac:dyDescent="0.25">
      <c r="B233" s="97"/>
      <c r="C233" s="98"/>
      <c r="D233" s="98"/>
      <c r="E233" s="98"/>
      <c r="F233" s="98"/>
    </row>
    <row r="234" spans="2:6" x14ac:dyDescent="0.25">
      <c r="B234" s="97"/>
      <c r="C234" s="98"/>
      <c r="D234" s="98"/>
      <c r="E234" s="98"/>
      <c r="F234" s="98"/>
    </row>
    <row r="235" spans="2:6" x14ac:dyDescent="0.25">
      <c r="B235" s="97"/>
      <c r="C235" s="98"/>
      <c r="D235" s="98"/>
      <c r="E235" s="98"/>
      <c r="F235" s="98"/>
    </row>
    <row r="236" spans="2:6" x14ac:dyDescent="0.25">
      <c r="B236" s="97"/>
      <c r="C236" s="98"/>
      <c r="D236" s="98"/>
      <c r="E236" s="98"/>
      <c r="F236" s="98"/>
    </row>
    <row r="237" spans="2:6" x14ac:dyDescent="0.25">
      <c r="B237" s="97"/>
      <c r="C237" s="98"/>
      <c r="D237" s="98"/>
      <c r="E237" s="98"/>
      <c r="F237" s="98"/>
    </row>
    <row r="238" spans="2:6" x14ac:dyDescent="0.25">
      <c r="B238" s="97"/>
      <c r="C238" s="98"/>
      <c r="D238" s="98"/>
      <c r="E238" s="98"/>
      <c r="F238" s="98"/>
    </row>
    <row r="239" spans="2:6" x14ac:dyDescent="0.25">
      <c r="B239" s="97"/>
      <c r="C239" s="98"/>
      <c r="D239" s="98"/>
      <c r="E239" s="98"/>
      <c r="F239" s="98"/>
    </row>
    <row r="240" spans="2:6" x14ac:dyDescent="0.25">
      <c r="B240" s="97"/>
      <c r="C240" s="98"/>
      <c r="D240" s="98"/>
      <c r="E240" s="98"/>
      <c r="F240" s="98"/>
    </row>
    <row r="241" spans="2:6" x14ac:dyDescent="0.25">
      <c r="B241" s="97"/>
      <c r="C241" s="98"/>
      <c r="D241" s="98"/>
      <c r="E241" s="98"/>
      <c r="F241" s="98"/>
    </row>
    <row r="242" spans="2:6" x14ac:dyDescent="0.25">
      <c r="B242" s="97"/>
      <c r="C242" s="98"/>
      <c r="D242" s="98"/>
      <c r="E242" s="98"/>
      <c r="F242" s="98"/>
    </row>
    <row r="243" spans="2:6" x14ac:dyDescent="0.25">
      <c r="B243" s="97"/>
      <c r="C243" s="98"/>
      <c r="D243" s="98"/>
      <c r="E243" s="98"/>
      <c r="F243" s="98"/>
    </row>
    <row r="244" spans="2:6" x14ac:dyDescent="0.25">
      <c r="B244" s="97"/>
      <c r="C244" s="98"/>
      <c r="D244" s="98"/>
      <c r="E244" s="98"/>
      <c r="F244" s="98"/>
    </row>
    <row r="245" spans="2:6" x14ac:dyDescent="0.25">
      <c r="B245" s="97"/>
      <c r="C245" s="98"/>
      <c r="D245" s="98"/>
      <c r="E245" s="98"/>
      <c r="F245" s="98"/>
    </row>
    <row r="246" spans="2:6" x14ac:dyDescent="0.25">
      <c r="B246" s="97"/>
      <c r="C246" s="98"/>
      <c r="D246" s="98"/>
      <c r="E246" s="98"/>
      <c r="F246" s="98"/>
    </row>
    <row r="247" spans="2:6" x14ac:dyDescent="0.25">
      <c r="B247" s="97"/>
      <c r="C247" s="98"/>
      <c r="D247" s="98"/>
      <c r="E247" s="98"/>
      <c r="F247" s="98"/>
    </row>
    <row r="248" spans="2:6" x14ac:dyDescent="0.25">
      <c r="B248" s="97"/>
      <c r="C248" s="98"/>
      <c r="D248" s="98"/>
      <c r="E248" s="98"/>
      <c r="F248" s="98"/>
    </row>
    <row r="249" spans="2:6" x14ac:dyDescent="0.25">
      <c r="B249" s="97"/>
      <c r="C249" s="98"/>
      <c r="D249" s="98"/>
      <c r="E249" s="98"/>
      <c r="F249" s="98"/>
    </row>
    <row r="250" spans="2:6" x14ac:dyDescent="0.25">
      <c r="B250" s="97"/>
      <c r="C250" s="98"/>
      <c r="D250" s="98"/>
      <c r="E250" s="98"/>
      <c r="F250" s="98"/>
    </row>
    <row r="251" spans="2:6" x14ac:dyDescent="0.25">
      <c r="B251" s="97"/>
      <c r="C251" s="98"/>
      <c r="D251" s="98"/>
      <c r="E251" s="98"/>
      <c r="F251" s="98"/>
    </row>
    <row r="252" spans="2:6" x14ac:dyDescent="0.25">
      <c r="B252" s="97"/>
      <c r="C252" s="98"/>
      <c r="D252" s="98"/>
      <c r="E252" s="98"/>
      <c r="F252" s="98"/>
    </row>
    <row r="253" spans="2:6" x14ac:dyDescent="0.25">
      <c r="B253" s="97"/>
      <c r="C253" s="98"/>
      <c r="D253" s="98"/>
      <c r="E253" s="98"/>
      <c r="F253" s="98"/>
    </row>
    <row r="254" spans="2:6" x14ac:dyDescent="0.25">
      <c r="B254" s="97"/>
      <c r="C254" s="98"/>
      <c r="D254" s="98"/>
      <c r="E254" s="98"/>
      <c r="F254" s="98"/>
    </row>
    <row r="255" spans="2:6" x14ac:dyDescent="0.25">
      <c r="B255" s="97"/>
      <c r="C255" s="98"/>
      <c r="D255" s="98"/>
      <c r="E255" s="98"/>
      <c r="F255" s="98"/>
    </row>
    <row r="256" spans="2:6" x14ac:dyDescent="0.25">
      <c r="B256" s="97"/>
      <c r="C256" s="98"/>
      <c r="D256" s="98"/>
      <c r="E256" s="98"/>
      <c r="F256" s="98"/>
    </row>
    <row r="257" spans="2:6" x14ac:dyDescent="0.25">
      <c r="B257" s="97"/>
      <c r="C257" s="98"/>
      <c r="D257" s="98"/>
      <c r="E257" s="98"/>
      <c r="F257" s="98"/>
    </row>
    <row r="258" spans="2:6" x14ac:dyDescent="0.25">
      <c r="B258" s="97"/>
      <c r="C258" s="98"/>
      <c r="D258" s="98"/>
      <c r="E258" s="98"/>
      <c r="F258" s="98"/>
    </row>
    <row r="259" spans="2:6" x14ac:dyDescent="0.25">
      <c r="B259" s="97"/>
      <c r="C259" s="98"/>
      <c r="D259" s="98"/>
      <c r="E259" s="98"/>
      <c r="F259" s="98"/>
    </row>
    <row r="260" spans="2:6" x14ac:dyDescent="0.25">
      <c r="B260" s="97"/>
      <c r="C260" s="98"/>
      <c r="D260" s="98"/>
      <c r="E260" s="98"/>
      <c r="F260" s="98"/>
    </row>
    <row r="261" spans="2:6" x14ac:dyDescent="0.25">
      <c r="B261" s="97"/>
      <c r="C261" s="98"/>
      <c r="D261" s="98"/>
      <c r="E261" s="98"/>
      <c r="F261" s="98"/>
    </row>
    <row r="262" spans="2:6" x14ac:dyDescent="0.25">
      <c r="B262" s="97"/>
      <c r="C262" s="98"/>
      <c r="D262" s="98"/>
      <c r="E262" s="98"/>
      <c r="F262" s="98"/>
    </row>
    <row r="263" spans="2:6" x14ac:dyDescent="0.25">
      <c r="B263" s="97"/>
      <c r="C263" s="98"/>
      <c r="D263" s="98"/>
      <c r="E263" s="98"/>
      <c r="F263" s="98"/>
    </row>
    <row r="264" spans="2:6" x14ac:dyDescent="0.25">
      <c r="B264" s="97"/>
      <c r="C264" s="98"/>
      <c r="D264" s="98"/>
      <c r="E264" s="98"/>
      <c r="F264" s="98"/>
    </row>
    <row r="265" spans="2:6" x14ac:dyDescent="0.25">
      <c r="B265" s="97"/>
      <c r="C265" s="98"/>
      <c r="D265" s="98"/>
      <c r="E265" s="98"/>
      <c r="F265" s="98"/>
    </row>
    <row r="266" spans="2:6" x14ac:dyDescent="0.25">
      <c r="B266" s="97"/>
      <c r="C266" s="98"/>
      <c r="D266" s="98"/>
      <c r="E266" s="98"/>
      <c r="F266" s="98"/>
    </row>
    <row r="267" spans="2:6" x14ac:dyDescent="0.25">
      <c r="B267" s="97"/>
      <c r="C267" s="98"/>
      <c r="D267" s="98"/>
      <c r="E267" s="98"/>
      <c r="F267" s="98"/>
    </row>
    <row r="268" spans="2:6" x14ac:dyDescent="0.25">
      <c r="B268" s="97"/>
      <c r="C268" s="98"/>
      <c r="D268" s="98"/>
      <c r="E268" s="98"/>
      <c r="F268" s="98"/>
    </row>
    <row r="269" spans="2:6" x14ac:dyDescent="0.25">
      <c r="B269" s="97"/>
      <c r="C269" s="98"/>
      <c r="D269" s="98"/>
      <c r="E269" s="98"/>
      <c r="F269" s="98"/>
    </row>
    <row r="270" spans="2:6" x14ac:dyDescent="0.25">
      <c r="B270" s="97"/>
      <c r="C270" s="98"/>
      <c r="D270" s="98"/>
      <c r="E270" s="98"/>
      <c r="F270" s="98"/>
    </row>
    <row r="271" spans="2:6" x14ac:dyDescent="0.25">
      <c r="B271" s="97"/>
      <c r="C271" s="98"/>
      <c r="D271" s="98"/>
      <c r="E271" s="98"/>
      <c r="F271" s="98"/>
    </row>
    <row r="272" spans="2:6" x14ac:dyDescent="0.25">
      <c r="B272" s="97"/>
      <c r="C272" s="98"/>
      <c r="D272" s="98"/>
      <c r="E272" s="98"/>
      <c r="F272" s="98"/>
    </row>
    <row r="273" spans="2:6" x14ac:dyDescent="0.25">
      <c r="B273" s="97"/>
      <c r="C273" s="98"/>
      <c r="D273" s="98"/>
      <c r="E273" s="98"/>
      <c r="F273" s="98"/>
    </row>
    <row r="274" spans="2:6" x14ac:dyDescent="0.25">
      <c r="B274" s="97"/>
      <c r="C274" s="98"/>
      <c r="D274" s="98"/>
      <c r="E274" s="98"/>
      <c r="F274" s="98"/>
    </row>
    <row r="275" spans="2:6" x14ac:dyDescent="0.25">
      <c r="B275" s="97"/>
      <c r="C275" s="98"/>
      <c r="D275" s="98"/>
      <c r="E275" s="98"/>
      <c r="F275" s="98"/>
    </row>
    <row r="276" spans="2:6" x14ac:dyDescent="0.25">
      <c r="B276" s="97"/>
      <c r="C276" s="98"/>
      <c r="D276" s="98"/>
      <c r="E276" s="98"/>
      <c r="F276" s="98"/>
    </row>
    <row r="277" spans="2:6" x14ac:dyDescent="0.25">
      <c r="B277" s="97"/>
      <c r="C277" s="98"/>
      <c r="D277" s="98"/>
      <c r="E277" s="98"/>
      <c r="F277" s="98"/>
    </row>
    <row r="278" spans="2:6" x14ac:dyDescent="0.25">
      <c r="B278" s="97"/>
      <c r="C278" s="98"/>
      <c r="D278" s="98"/>
      <c r="E278" s="98"/>
      <c r="F278" s="98"/>
    </row>
    <row r="279" spans="2:6" x14ac:dyDescent="0.25">
      <c r="B279" s="97"/>
      <c r="C279" s="98"/>
      <c r="D279" s="98"/>
      <c r="E279" s="98"/>
      <c r="F279" s="98"/>
    </row>
    <row r="280" spans="2:6" x14ac:dyDescent="0.25">
      <c r="B280" s="97"/>
      <c r="C280" s="98"/>
      <c r="D280" s="98"/>
      <c r="E280" s="98"/>
      <c r="F280" s="98"/>
    </row>
    <row r="281" spans="2:6" x14ac:dyDescent="0.25">
      <c r="B281" s="97"/>
      <c r="C281" s="98"/>
      <c r="D281" s="98"/>
      <c r="E281" s="98"/>
      <c r="F281" s="98"/>
    </row>
    <row r="282" spans="2:6" x14ac:dyDescent="0.25">
      <c r="B282" s="97"/>
      <c r="C282" s="98"/>
      <c r="D282" s="98"/>
      <c r="E282" s="98"/>
      <c r="F282" s="98"/>
    </row>
    <row r="283" spans="2:6" x14ac:dyDescent="0.25">
      <c r="B283" s="97"/>
      <c r="C283" s="98"/>
      <c r="D283" s="98"/>
      <c r="E283" s="98"/>
      <c r="F283" s="98"/>
    </row>
    <row r="284" spans="2:6" x14ac:dyDescent="0.25">
      <c r="B284" s="97"/>
      <c r="C284" s="98"/>
      <c r="D284" s="98"/>
      <c r="E284" s="98"/>
      <c r="F284" s="98"/>
    </row>
    <row r="285" spans="2:6" x14ac:dyDescent="0.25">
      <c r="B285" s="97"/>
      <c r="C285" s="98"/>
      <c r="D285" s="98"/>
      <c r="E285" s="98"/>
      <c r="F285" s="98"/>
    </row>
    <row r="286" spans="2:6" x14ac:dyDescent="0.25">
      <c r="B286" s="97"/>
      <c r="C286" s="98"/>
      <c r="D286" s="98"/>
      <c r="E286" s="98"/>
      <c r="F286" s="98"/>
    </row>
    <row r="287" spans="2:6" x14ac:dyDescent="0.25">
      <c r="B287" s="97"/>
      <c r="C287" s="98"/>
      <c r="D287" s="98"/>
      <c r="E287" s="98"/>
      <c r="F287" s="98"/>
    </row>
    <row r="288" spans="2:6" x14ac:dyDescent="0.25">
      <c r="B288" s="97"/>
      <c r="C288" s="98"/>
      <c r="D288" s="98"/>
      <c r="E288" s="98"/>
      <c r="F288" s="98"/>
    </row>
    <row r="289" spans="2:6" x14ac:dyDescent="0.25">
      <c r="B289" s="97"/>
      <c r="C289" s="98"/>
      <c r="D289" s="98"/>
      <c r="E289" s="98"/>
      <c r="F289" s="98"/>
    </row>
    <row r="290" spans="2:6" x14ac:dyDescent="0.25">
      <c r="B290" s="97"/>
      <c r="C290" s="98"/>
      <c r="D290" s="98"/>
      <c r="E290" s="98"/>
      <c r="F290" s="98"/>
    </row>
    <row r="291" spans="2:6" x14ac:dyDescent="0.25">
      <c r="B291" s="97"/>
      <c r="C291" s="98"/>
      <c r="D291" s="98"/>
      <c r="E291" s="98"/>
      <c r="F291" s="98"/>
    </row>
    <row r="292" spans="2:6" x14ac:dyDescent="0.25">
      <c r="B292" s="97"/>
      <c r="C292" s="98"/>
      <c r="D292" s="98"/>
      <c r="E292" s="98"/>
      <c r="F292" s="98"/>
    </row>
    <row r="293" spans="2:6" x14ac:dyDescent="0.25">
      <c r="B293" s="97"/>
      <c r="C293" s="98"/>
      <c r="D293" s="98"/>
      <c r="E293" s="98"/>
      <c r="F293" s="98"/>
    </row>
    <row r="294" spans="2:6" x14ac:dyDescent="0.25">
      <c r="B294" s="97"/>
      <c r="C294" s="98"/>
      <c r="D294" s="98"/>
      <c r="E294" s="98"/>
      <c r="F294" s="98"/>
    </row>
    <row r="295" spans="2:6" x14ac:dyDescent="0.25">
      <c r="B295" s="97"/>
      <c r="C295" s="98"/>
      <c r="D295" s="98"/>
      <c r="E295" s="98"/>
      <c r="F295" s="98"/>
    </row>
    <row r="296" spans="2:6" x14ac:dyDescent="0.25">
      <c r="B296" s="97"/>
      <c r="C296" s="98"/>
      <c r="D296" s="98"/>
      <c r="E296" s="98"/>
      <c r="F296" s="98"/>
    </row>
    <row r="297" spans="2:6" x14ac:dyDescent="0.25">
      <c r="B297" s="97"/>
      <c r="C297" s="98"/>
      <c r="D297" s="98"/>
      <c r="E297" s="98"/>
      <c r="F297" s="98"/>
    </row>
    <row r="298" spans="2:6" x14ac:dyDescent="0.25">
      <c r="B298" s="97"/>
      <c r="C298" s="98"/>
      <c r="D298" s="98"/>
      <c r="E298" s="98"/>
      <c r="F298" s="98"/>
    </row>
    <row r="299" spans="2:6" x14ac:dyDescent="0.25">
      <c r="B299" s="97"/>
      <c r="C299" s="98"/>
      <c r="D299" s="98"/>
      <c r="E299" s="98"/>
      <c r="F299" s="98"/>
    </row>
    <row r="300" spans="2:6" x14ac:dyDescent="0.25">
      <c r="B300" s="97"/>
      <c r="C300" s="98"/>
      <c r="D300" s="98"/>
      <c r="E300" s="98"/>
      <c r="F300" s="98"/>
    </row>
    <row r="301" spans="2:6" x14ac:dyDescent="0.25">
      <c r="B301" s="97"/>
      <c r="C301" s="98"/>
      <c r="D301" s="98"/>
      <c r="E301" s="98"/>
      <c r="F301" s="98"/>
    </row>
    <row r="302" spans="2:6" x14ac:dyDescent="0.25">
      <c r="B302" s="97"/>
      <c r="C302" s="98"/>
      <c r="D302" s="98"/>
      <c r="E302" s="98"/>
      <c r="F302" s="98"/>
    </row>
    <row r="303" spans="2:6" x14ac:dyDescent="0.25">
      <c r="B303" s="97"/>
      <c r="C303" s="98"/>
      <c r="D303" s="98"/>
      <c r="E303" s="98"/>
      <c r="F303" s="98"/>
    </row>
    <row r="304" spans="2:6" x14ac:dyDescent="0.25">
      <c r="B304" s="97"/>
      <c r="C304" s="98"/>
      <c r="D304" s="98"/>
      <c r="E304" s="98"/>
      <c r="F304" s="98"/>
    </row>
    <row r="305" spans="2:6" x14ac:dyDescent="0.25">
      <c r="B305" s="97"/>
      <c r="C305" s="98"/>
      <c r="D305" s="98"/>
      <c r="E305" s="98"/>
      <c r="F305" s="98"/>
    </row>
    <row r="306" spans="2:6" x14ac:dyDescent="0.25">
      <c r="B306" s="97"/>
      <c r="C306" s="98"/>
      <c r="D306" s="98"/>
      <c r="E306" s="98"/>
      <c r="F306" s="98"/>
    </row>
    <row r="307" spans="2:6" x14ac:dyDescent="0.25">
      <c r="B307" s="97"/>
      <c r="C307" s="98"/>
      <c r="D307" s="98"/>
      <c r="E307" s="98"/>
      <c r="F307" s="98"/>
    </row>
    <row r="308" spans="2:6" x14ac:dyDescent="0.25">
      <c r="B308" s="97"/>
      <c r="C308" s="98"/>
      <c r="D308" s="98"/>
      <c r="E308" s="98"/>
      <c r="F308" s="98"/>
    </row>
    <row r="309" spans="2:6" x14ac:dyDescent="0.25">
      <c r="B309" s="97"/>
      <c r="C309" s="98"/>
      <c r="D309" s="98"/>
      <c r="E309" s="98"/>
      <c r="F309" s="98"/>
    </row>
  </sheetData>
  <mergeCells count="101">
    <mergeCell ref="E38:G38"/>
    <mergeCell ref="B48:C48"/>
    <mergeCell ref="B49:C49"/>
    <mergeCell ref="B46:C46"/>
    <mergeCell ref="B47:C47"/>
    <mergeCell ref="B51:C51"/>
    <mergeCell ref="B65:C65"/>
    <mergeCell ref="B52:C52"/>
    <mergeCell ref="B58:C58"/>
    <mergeCell ref="B57:C57"/>
    <mergeCell ref="A60:B60"/>
    <mergeCell ref="C60:J60"/>
    <mergeCell ref="B59:C59"/>
    <mergeCell ref="B53:C53"/>
    <mergeCell ref="B54:C54"/>
    <mergeCell ref="B55:C55"/>
    <mergeCell ref="B56:C56"/>
    <mergeCell ref="B61:C61"/>
    <mergeCell ref="B44:C44"/>
    <mergeCell ref="B43:C43"/>
    <mergeCell ref="B62:C62"/>
    <mergeCell ref="B87:C87"/>
    <mergeCell ref="B66:C66"/>
    <mergeCell ref="B70:C70"/>
    <mergeCell ref="B71:C71"/>
    <mergeCell ref="B80:C80"/>
    <mergeCell ref="A69:B69"/>
    <mergeCell ref="C69:J69"/>
    <mergeCell ref="A68:J68"/>
    <mergeCell ref="B67:C67"/>
    <mergeCell ref="A81:B81"/>
    <mergeCell ref="C81:J81"/>
    <mergeCell ref="A8:B8"/>
    <mergeCell ref="A9:B9"/>
    <mergeCell ref="A12:B12"/>
    <mergeCell ref="C12:J12"/>
    <mergeCell ref="A1:B1"/>
    <mergeCell ref="A2:B2"/>
    <mergeCell ref="A3:B3"/>
    <mergeCell ref="A5:B5"/>
    <mergeCell ref="A4:B4"/>
    <mergeCell ref="A6:C6"/>
    <mergeCell ref="A7:B7"/>
    <mergeCell ref="B21:C21"/>
    <mergeCell ref="B18:C18"/>
    <mergeCell ref="B20:C20"/>
    <mergeCell ref="B14:C14"/>
    <mergeCell ref="E9:G9"/>
    <mergeCell ref="B10:C10"/>
    <mergeCell ref="B15:C15"/>
    <mergeCell ref="A11:J11"/>
    <mergeCell ref="A17:B17"/>
    <mergeCell ref="C17:J17"/>
    <mergeCell ref="B13:C13"/>
    <mergeCell ref="B16:C16"/>
    <mergeCell ref="B19:C19"/>
    <mergeCell ref="B22:C22"/>
    <mergeCell ref="B29:C29"/>
    <mergeCell ref="B34:C34"/>
    <mergeCell ref="B42:C42"/>
    <mergeCell ref="B31:C31"/>
    <mergeCell ref="B38:C38"/>
    <mergeCell ref="B37:C37"/>
    <mergeCell ref="B28:C28"/>
    <mergeCell ref="B40:C40"/>
    <mergeCell ref="B41:C41"/>
    <mergeCell ref="B23:C23"/>
    <mergeCell ref="B25:C25"/>
    <mergeCell ref="B26:C26"/>
    <mergeCell ref="B27:C27"/>
    <mergeCell ref="B24:C24"/>
    <mergeCell ref="B35:C35"/>
    <mergeCell ref="B30:C30"/>
    <mergeCell ref="B32:C32"/>
    <mergeCell ref="B33:C33"/>
    <mergeCell ref="B36:C36"/>
    <mergeCell ref="B39:C39"/>
    <mergeCell ref="B92:C92"/>
    <mergeCell ref="B93:C93"/>
    <mergeCell ref="A91:J91"/>
    <mergeCell ref="A45:B45"/>
    <mergeCell ref="C45:J45"/>
    <mergeCell ref="B90:C90"/>
    <mergeCell ref="B82:C82"/>
    <mergeCell ref="B83:C83"/>
    <mergeCell ref="B84:C84"/>
    <mergeCell ref="B85:C85"/>
    <mergeCell ref="B86:C86"/>
    <mergeCell ref="B63:C63"/>
    <mergeCell ref="B64:C64"/>
    <mergeCell ref="B88:C88"/>
    <mergeCell ref="B89:C89"/>
    <mergeCell ref="B50:C50"/>
    <mergeCell ref="B72:C72"/>
    <mergeCell ref="B73:C73"/>
    <mergeCell ref="B74:C74"/>
    <mergeCell ref="B75:C75"/>
    <mergeCell ref="B76:C76"/>
    <mergeCell ref="B77:C77"/>
    <mergeCell ref="B78:C78"/>
    <mergeCell ref="B79:C79"/>
  </mergeCells>
  <phoneticPr fontId="8" type="noConversion"/>
  <conditionalFormatting sqref="A13:C13 A14 A62:C63 A65:C67 A64 B57 A53:B55">
    <cfRule type="expression" dxfId="50" priority="29">
      <formula>$F13&lt;&gt;""</formula>
    </cfRule>
  </conditionalFormatting>
  <conditionalFormatting sqref="A16:C16">
    <cfRule type="expression" dxfId="49" priority="28">
      <formula>$F16&lt;&gt;""</formula>
    </cfRule>
  </conditionalFormatting>
  <conditionalFormatting sqref="A27 A18:C23 A28:C29 A30:B30 A26:C26 A32:C34 A24:B25 A31">
    <cfRule type="expression" dxfId="48" priority="27">
      <formula>$F18&lt;&gt;""</formula>
    </cfRule>
  </conditionalFormatting>
  <conditionalFormatting sqref="B27:C27">
    <cfRule type="expression" dxfId="47" priority="26">
      <formula>$F27&lt;&gt;""</formula>
    </cfRule>
  </conditionalFormatting>
  <conditionalFormatting sqref="A44:C44 A35:C36 A39:C40 A37:B38 A41:B43">
    <cfRule type="expression" dxfId="46" priority="25">
      <formula>$F35&lt;&gt;""</formula>
    </cfRule>
  </conditionalFormatting>
  <conditionalFormatting sqref="A46:C49 A51:C52 A50:B50">
    <cfRule type="expression" dxfId="45" priority="24">
      <formula>$F46&lt;&gt;""</formula>
    </cfRule>
  </conditionalFormatting>
  <conditionalFormatting sqref="A59:C59 A56:A58 B58:C58">
    <cfRule type="expression" dxfId="44" priority="23">
      <formula>$F56&lt;&gt;""</formula>
    </cfRule>
  </conditionalFormatting>
  <conditionalFormatting sqref="A70:C71">
    <cfRule type="expression" dxfId="43" priority="21">
      <formula>$F70&lt;&gt;""</formula>
    </cfRule>
  </conditionalFormatting>
  <conditionalFormatting sqref="A72:C76 A77:B78 A79:C80">
    <cfRule type="expression" dxfId="42" priority="20">
      <formula>$F72&lt;&gt;""</formula>
    </cfRule>
  </conditionalFormatting>
  <conditionalFormatting sqref="A82:C83">
    <cfRule type="expression" dxfId="41" priority="19">
      <formula>$F82&lt;&gt;""</formula>
    </cfRule>
  </conditionalFormatting>
  <conditionalFormatting sqref="A85:C85 A84:B84 A87:C90 A86:B86">
    <cfRule type="expression" dxfId="40" priority="18">
      <formula>$F84&lt;&gt;""</formula>
    </cfRule>
  </conditionalFormatting>
  <conditionalFormatting sqref="A61:B61">
    <cfRule type="expression" dxfId="39" priority="17">
      <formula>$F61&lt;&gt;""</formula>
    </cfRule>
  </conditionalFormatting>
  <conditionalFormatting sqref="B14:C14">
    <cfRule type="expression" dxfId="38" priority="16">
      <formula>$F14&lt;&gt;""</formula>
    </cfRule>
  </conditionalFormatting>
  <conditionalFormatting sqref="B56:C56">
    <cfRule type="expression" dxfId="37" priority="15">
      <formula>$F56&lt;&gt;""</formula>
    </cfRule>
  </conditionalFormatting>
  <conditionalFormatting sqref="B15:C15">
    <cfRule type="expression" dxfId="36" priority="14">
      <formula>$F15&lt;&gt;""</formula>
    </cfRule>
  </conditionalFormatting>
  <conditionalFormatting sqref="A15">
    <cfRule type="expression" dxfId="35" priority="13">
      <formula>$F15&lt;&gt;""</formula>
    </cfRule>
  </conditionalFormatting>
  <conditionalFormatting sqref="B31">
    <cfRule type="expression" dxfId="34" priority="12">
      <formula>$F31&lt;&gt;""</formula>
    </cfRule>
  </conditionalFormatting>
  <conditionalFormatting sqref="B64:C64">
    <cfRule type="expression" dxfId="33" priority="10">
      <formula>$F64&lt;&gt;""</formula>
    </cfRule>
  </conditionalFormatting>
  <conditionalFormatting sqref="A92:C93">
    <cfRule type="expression" dxfId="32" priority="9">
      <formula>$F92&lt;&gt;""</formula>
    </cfRule>
  </conditionalFormatting>
  <conditionalFormatting sqref="H94">
    <cfRule type="cellIs" dxfId="31" priority="2" operator="equal">
      <formula>"REJECTION NOTE TOO LONG"</formula>
    </cfRule>
  </conditionalFormatting>
  <conditionalFormatting sqref="H100">
    <cfRule type="cellIs" dxfId="30" priority="1" operator="equal">
      <formula>"FIX CELL D5"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HighlightedCell">
                <anchor moveWithCells="1" sizeWithCells="1">
                  <from>
                    <xdr:col>7</xdr:col>
                    <xdr:colOff>419100</xdr:colOff>
                    <xdr:row>1</xdr:row>
                    <xdr:rowOff>47625</xdr:rowOff>
                  </from>
                  <to>
                    <xdr:col>7</xdr:col>
                    <xdr:colOff>2743200</xdr:colOff>
                    <xdr:row>4</xdr:row>
                    <xdr:rowOff>133350</xdr:rowOff>
                  </to>
                </anchor>
              </controlPr>
            </control>
          </mc:Choice>
        </mc:AlternateContent>
        <mc:AlternateContent xmlns:mc="http://schemas.openxmlformats.org/markup-compatibility/2006">
          <mc:Choice Requires="x14">
            <control shapeId="2050" r:id="rId5" name="Button 2">
              <controlPr defaultSize="0" print="0" autoFill="0" autoPict="0" macro="[0]!autoMove">
                <anchor moveWithCells="1" sizeWithCells="1">
                  <from>
                    <xdr:col>7</xdr:col>
                    <xdr:colOff>219075</xdr:colOff>
                    <xdr:row>94</xdr:row>
                    <xdr:rowOff>19050</xdr:rowOff>
                  </from>
                  <to>
                    <xdr:col>7</xdr:col>
                    <xdr:colOff>3105150</xdr:colOff>
                    <xdr:row>98</xdr:row>
                    <xdr:rowOff>114300</xdr:rowOff>
                  </to>
                </anchor>
              </controlPr>
            </control>
          </mc:Choice>
        </mc:AlternateContent>
        <mc:AlternateContent xmlns:mc="http://schemas.openxmlformats.org/markup-compatibility/2006">
          <mc:Choice Requires="x14">
            <control shapeId="2051" r:id="rId6" name="Button 3">
              <controlPr defaultSize="0" print="0" autoFill="0" autoPict="0" macro="[0]!postQC">
                <anchor moveWithCells="1" sizeWithCells="1">
                  <from>
                    <xdr:col>8</xdr:col>
                    <xdr:colOff>19050</xdr:colOff>
                    <xdr:row>2</xdr:row>
                    <xdr:rowOff>161925</xdr:rowOff>
                  </from>
                  <to>
                    <xdr:col>10</xdr:col>
                    <xdr:colOff>323850</xdr:colOff>
                    <xdr:row>6</xdr:row>
                    <xdr:rowOff>38100</xdr:rowOff>
                  </to>
                </anchor>
              </controlPr>
            </control>
          </mc:Choice>
        </mc:AlternateContent>
        <mc:AlternateContent xmlns:mc="http://schemas.openxmlformats.org/markup-compatibility/2006">
          <mc:Choice Requires="x14">
            <control shapeId="2055" r:id="rId7" name="Button 7">
              <controlPr defaultSize="0" print="0" autoFill="0" autoPict="0" macro="[0]!autoSF_CO">
                <anchor moveWithCells="1" sizeWithCells="1">
                  <from>
                    <xdr:col>8</xdr:col>
                    <xdr:colOff>9525</xdr:colOff>
                    <xdr:row>0</xdr:row>
                    <xdr:rowOff>57150</xdr:rowOff>
                  </from>
                  <to>
                    <xdr:col>10</xdr:col>
                    <xdr:colOff>323850</xdr:colOff>
                    <xdr:row>2</xdr:row>
                    <xdr:rowOff>85725</xdr:rowOff>
                  </to>
                </anchor>
              </controlPr>
            </control>
          </mc:Choice>
        </mc:AlternateContent>
        <mc:AlternateContent xmlns:mc="http://schemas.openxmlformats.org/markup-compatibility/2006">
          <mc:Choice Requires="x14">
            <control shapeId="2056" r:id="rId8" name="Button 8">
              <controlPr defaultSize="0" print="0" autoFill="0" autoPict="0" macro="[0]!funButton">
                <anchor moveWithCells="1" sizeWithCells="1">
                  <from>
                    <xdr:col>7</xdr:col>
                    <xdr:colOff>428625</xdr:colOff>
                    <xdr:row>100</xdr:row>
                    <xdr:rowOff>9525</xdr:rowOff>
                  </from>
                  <to>
                    <xdr:col>7</xdr:col>
                    <xdr:colOff>2895600</xdr:colOff>
                    <xdr:row>103</xdr:row>
                    <xdr:rowOff>142875</xdr:rowOff>
                  </to>
                </anchor>
              </controlPr>
            </control>
          </mc:Choice>
        </mc:AlternateContent>
        <mc:AlternateContent xmlns:mc="http://schemas.openxmlformats.org/markup-compatibility/2006">
          <mc:Choice Requires="x14">
            <control shapeId="2068" r:id="rId9" name="Button 20">
              <controlPr defaultSize="0" print="0" autoFill="0" autoPict="0" macro="[0]!existingMeter">
                <anchor moveWithCells="1" sizeWithCells="1">
                  <from>
                    <xdr:col>3</xdr:col>
                    <xdr:colOff>304800</xdr:colOff>
                    <xdr:row>5</xdr:row>
                    <xdr:rowOff>180975</xdr:rowOff>
                  </from>
                  <to>
                    <xdr:col>3</xdr:col>
                    <xdr:colOff>2362200</xdr:colOff>
                    <xdr:row>8</xdr:row>
                    <xdr:rowOff>66675</xdr:rowOff>
                  </to>
                </anchor>
              </controlPr>
            </control>
          </mc:Choice>
        </mc:AlternateContent>
        <mc:AlternateContent xmlns:mc="http://schemas.openxmlformats.org/markup-compatibility/2006">
          <mc:Choice Requires="x14">
            <control shapeId="2069" r:id="rId10" name="Button 21">
              <controlPr defaultSize="0" print="0" autoFill="0" autoPict="0" macro="[0]!hideRows">
                <anchor moveWithCells="1" sizeWithCells="1">
                  <from>
                    <xdr:col>7</xdr:col>
                    <xdr:colOff>66675</xdr:colOff>
                    <xdr:row>7</xdr:row>
                    <xdr:rowOff>47625</xdr:rowOff>
                  </from>
                  <to>
                    <xdr:col>7</xdr:col>
                    <xdr:colOff>3209925</xdr:colOff>
                    <xdr:row>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xr:uid="{F114A074-D4FB-4ABF-A40D-62EA8E1BDC20}">
          <x14:formula1>
            <xm:f>'Rej Comments'!$A$2:$A$3</xm:f>
          </x14:formula1>
          <xm:sqref>H12</xm:sqref>
        </x14:dataValidation>
        <x14:dataValidation type="list" allowBlank="1" showInputMessage="1" xr:uid="{16B79BBA-DFB1-4F86-A00F-D6E9AC12EF52}">
          <x14:formula1>
            <xm:f>'Rej Comments'!$D$2:$D$4</xm:f>
          </x14:formula1>
          <xm:sqref>H13:H14</xm:sqref>
        </x14:dataValidation>
        <x14:dataValidation type="list" allowBlank="1" showInputMessage="1" xr:uid="{9F1E882A-8244-48BB-BCE0-8BB2E1DC967E}">
          <x14:formula1>
            <xm:f>'Rej Comments'!$E$2:$E$5</xm:f>
          </x14:formula1>
          <xm:sqref>H16</xm:sqref>
        </x14:dataValidation>
        <x14:dataValidation type="list" allowBlank="1" showInputMessage="1" xr:uid="{6C7C4C6D-F875-4488-B380-A52668621421}">
          <x14:formula1>
            <xm:f>'Rej Comments'!$F$2:$F$4</xm:f>
          </x14:formula1>
          <xm:sqref>H17</xm:sqref>
        </x14:dataValidation>
        <x14:dataValidation type="list" allowBlank="1" showInputMessage="1" xr:uid="{D193D05C-20A2-4583-A01F-22E1C3CEF458}">
          <x14:formula1>
            <xm:f>'Rej Comments'!$K$2:$K$3</xm:f>
          </x14:formula1>
          <xm:sqref>H24</xm:sqref>
        </x14:dataValidation>
        <x14:dataValidation type="list" allowBlank="1" showInputMessage="1" xr:uid="{D891A793-8D74-4571-B345-47BDB7876069}">
          <x14:formula1>
            <xm:f>'Rej Comments'!$L$2:$L$3</xm:f>
          </x14:formula1>
          <xm:sqref>H25</xm:sqref>
        </x14:dataValidation>
        <x14:dataValidation type="list" allowBlank="1" showInputMessage="1" xr:uid="{2CF98337-37CD-48B5-9E8F-90B7A294C38F}">
          <x14:formula1>
            <xm:f>'Rej Comments'!$M$2:$M$3</xm:f>
          </x14:formula1>
          <xm:sqref>H26</xm:sqref>
        </x14:dataValidation>
        <x14:dataValidation type="list" allowBlank="1" showInputMessage="1" xr:uid="{3272B60B-90D3-46D3-BFF4-0E3C9DBF0FFB}">
          <x14:formula1>
            <xm:f>'Rej Comments'!$N$2:$N$3</xm:f>
          </x14:formula1>
          <xm:sqref>H27</xm:sqref>
        </x14:dataValidation>
        <x14:dataValidation type="list" allowBlank="1" showInputMessage="1" xr:uid="{D343633A-C39E-4544-A571-C52F5EE17762}">
          <x14:formula1>
            <xm:f>'Rej Comments'!$O$2:$O$3</xm:f>
          </x14:formula1>
          <xm:sqref>H28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251E-7753-4FFB-AC70-0AD9394BE4D2}">
  <sheetPr codeName="Sheet3"/>
  <dimension ref="A1:J68"/>
  <sheetViews>
    <sheetView topLeftCell="A12" zoomScale="90" zoomScaleNormal="90" workbookViewId="0">
      <selection activeCell="D40" sqref="D40"/>
    </sheetView>
  </sheetViews>
  <sheetFormatPr defaultRowHeight="15" x14ac:dyDescent="0.25"/>
  <cols>
    <col min="3" max="3" width="58.42578125" customWidth="1"/>
    <col min="4" max="4" width="84.7109375" customWidth="1"/>
    <col min="8" max="8" width="48.42578125" bestFit="1" customWidth="1"/>
    <col min="9" max="9" width="15.5703125" bestFit="1" customWidth="1"/>
  </cols>
  <sheetData>
    <row r="1" spans="1:10" ht="21" x14ac:dyDescent="0.25">
      <c r="A1" s="137" t="s">
        <v>39</v>
      </c>
      <c r="B1" s="138"/>
      <c r="C1" s="27"/>
      <c r="D1" s="4" t="s">
        <v>7</v>
      </c>
      <c r="F1" s="163" t="s">
        <v>42</v>
      </c>
      <c r="G1" s="163"/>
      <c r="H1" s="163"/>
    </row>
    <row r="2" spans="1:10" x14ac:dyDescent="0.25">
      <c r="A2" s="137" t="s">
        <v>9</v>
      </c>
      <c r="B2" s="138" t="s">
        <v>9</v>
      </c>
      <c r="C2" s="28"/>
      <c r="D2" s="5" t="s">
        <v>8</v>
      </c>
    </row>
    <row r="3" spans="1:10" x14ac:dyDescent="0.25">
      <c r="A3" s="137" t="s">
        <v>17</v>
      </c>
      <c r="B3" s="138" t="s">
        <v>0</v>
      </c>
      <c r="C3" s="37"/>
      <c r="D3" s="38"/>
    </row>
    <row r="4" spans="1:10" ht="30.75" customHeight="1" x14ac:dyDescent="0.25">
      <c r="A4" s="160" t="s">
        <v>38</v>
      </c>
      <c r="B4" s="161"/>
      <c r="C4" s="37"/>
      <c r="D4" s="38"/>
    </row>
    <row r="5" spans="1:10" x14ac:dyDescent="0.25">
      <c r="B5" s="6"/>
      <c r="C5" s="3" t="s">
        <v>19</v>
      </c>
      <c r="D5" s="3" t="s">
        <v>20</v>
      </c>
    </row>
    <row r="6" spans="1:10" x14ac:dyDescent="0.25">
      <c r="B6" s="6"/>
      <c r="C6" s="3"/>
      <c r="D6" s="3"/>
    </row>
    <row r="7" spans="1:10" ht="31.5" customHeight="1" x14ac:dyDescent="0.25">
      <c r="A7" s="162" t="s">
        <v>133</v>
      </c>
      <c r="B7" s="162"/>
      <c r="C7" s="162"/>
      <c r="D7" s="162"/>
      <c r="E7" s="162"/>
      <c r="F7" s="162"/>
      <c r="G7" s="162"/>
    </row>
    <row r="8" spans="1:10" x14ac:dyDescent="0.25">
      <c r="B8" s="6"/>
      <c r="C8" s="3"/>
      <c r="D8" s="3"/>
    </row>
    <row r="9" spans="1:10" ht="22.5" customHeight="1" x14ac:dyDescent="0.25">
      <c r="A9" s="164" t="s">
        <v>134</v>
      </c>
      <c r="B9" s="164"/>
      <c r="C9" s="164"/>
      <c r="D9" s="164"/>
      <c r="E9" s="164"/>
      <c r="F9" s="164"/>
      <c r="G9" s="164"/>
    </row>
    <row r="10" spans="1:10" ht="15.75" thickBot="1" x14ac:dyDescent="0.3">
      <c r="B10" s="6"/>
      <c r="C10" s="3"/>
      <c r="D10" s="3"/>
    </row>
    <row r="11" spans="1:10" ht="15.75" thickBot="1" x14ac:dyDescent="0.3">
      <c r="B11" s="6"/>
      <c r="C11" s="3"/>
      <c r="D11" s="3"/>
      <c r="I11" s="9" t="s">
        <v>1</v>
      </c>
      <c r="J11" s="10"/>
    </row>
    <row r="12" spans="1:10" ht="15.75" thickBot="1" x14ac:dyDescent="0.3">
      <c r="B12" s="6"/>
      <c r="E12" s="122" t="s">
        <v>21</v>
      </c>
      <c r="F12" s="123"/>
      <c r="G12" s="124"/>
      <c r="H12" s="12"/>
      <c r="I12" s="9" t="s">
        <v>2</v>
      </c>
      <c r="J12" s="11"/>
    </row>
    <row r="13" spans="1:10" s="1" customFormat="1" ht="15.75" thickBot="1" x14ac:dyDescent="0.3">
      <c r="A13" s="35" t="s">
        <v>22</v>
      </c>
      <c r="B13" s="125" t="s">
        <v>23</v>
      </c>
      <c r="C13" s="125"/>
      <c r="D13" s="35" t="s">
        <v>15</v>
      </c>
      <c r="E13" s="13" t="s">
        <v>3</v>
      </c>
      <c r="F13" s="13" t="s">
        <v>4</v>
      </c>
      <c r="G13" s="13" t="s">
        <v>5</v>
      </c>
      <c r="H13" s="13" t="s">
        <v>16</v>
      </c>
      <c r="I13" s="14" t="s">
        <v>13</v>
      </c>
      <c r="J13" s="14" t="s">
        <v>14</v>
      </c>
    </row>
    <row r="14" spans="1:10" ht="57.75" customHeight="1" x14ac:dyDescent="0.25">
      <c r="A14" s="16" t="s">
        <v>88</v>
      </c>
      <c r="B14" s="150" t="s">
        <v>68</v>
      </c>
      <c r="C14" s="150"/>
      <c r="D14" s="29" t="s">
        <v>73</v>
      </c>
      <c r="E14" s="39"/>
      <c r="F14" s="39"/>
      <c r="G14" s="39"/>
      <c r="H14" s="40"/>
      <c r="I14" s="19"/>
      <c r="J14" s="19"/>
    </row>
    <row r="15" spans="1:10" ht="24.75" customHeight="1" x14ac:dyDescent="0.25">
      <c r="A15" s="17" t="s">
        <v>89</v>
      </c>
      <c r="B15" s="150" t="s">
        <v>43</v>
      </c>
      <c r="C15" s="150"/>
      <c r="D15" s="29"/>
      <c r="E15" s="39"/>
      <c r="F15" s="39"/>
      <c r="G15" s="39"/>
      <c r="H15" s="40"/>
      <c r="I15" s="20"/>
      <c r="J15" s="19"/>
    </row>
    <row r="16" spans="1:10" ht="33.75" customHeight="1" x14ac:dyDescent="0.25">
      <c r="A16" s="16" t="s">
        <v>90</v>
      </c>
      <c r="B16" s="143" t="s">
        <v>72</v>
      </c>
      <c r="C16" s="144"/>
      <c r="D16" s="29" t="s">
        <v>24</v>
      </c>
      <c r="E16" s="39"/>
      <c r="F16" s="39"/>
      <c r="G16" s="39"/>
      <c r="H16" s="7"/>
      <c r="I16" s="20"/>
      <c r="J16" s="19"/>
    </row>
    <row r="17" spans="1:10" ht="25.5" customHeight="1" x14ac:dyDescent="0.25">
      <c r="A17" s="17" t="s">
        <v>91</v>
      </c>
      <c r="B17" s="150" t="s">
        <v>44</v>
      </c>
      <c r="C17" s="150"/>
      <c r="D17" s="29" t="s">
        <v>45</v>
      </c>
      <c r="E17" s="39"/>
      <c r="F17" s="39"/>
      <c r="G17" s="39"/>
      <c r="H17" s="7"/>
      <c r="I17" s="20"/>
      <c r="J17" s="19"/>
    </row>
    <row r="18" spans="1:10" ht="35.25" customHeight="1" x14ac:dyDescent="0.25">
      <c r="A18" s="16" t="s">
        <v>92</v>
      </c>
      <c r="B18" s="150" t="s">
        <v>25</v>
      </c>
      <c r="C18" s="150"/>
      <c r="D18" s="29" t="s">
        <v>37</v>
      </c>
      <c r="E18" s="39"/>
      <c r="F18" s="39"/>
      <c r="G18" s="39"/>
      <c r="H18" s="7"/>
      <c r="I18" s="20"/>
      <c r="J18" s="19"/>
    </row>
    <row r="19" spans="1:10" ht="29.25" customHeight="1" x14ac:dyDescent="0.25">
      <c r="A19" s="17" t="s">
        <v>93</v>
      </c>
      <c r="B19" s="150" t="s">
        <v>46</v>
      </c>
      <c r="C19" s="150"/>
      <c r="D19" s="29"/>
      <c r="E19" s="39"/>
      <c r="F19" s="39"/>
      <c r="G19" s="39"/>
      <c r="H19" s="7"/>
      <c r="I19" s="20"/>
      <c r="J19" s="19"/>
    </row>
    <row r="20" spans="1:10" ht="30.75" customHeight="1" x14ac:dyDescent="0.25">
      <c r="A20" s="16" t="s">
        <v>94</v>
      </c>
      <c r="B20" s="150" t="s">
        <v>47</v>
      </c>
      <c r="C20" s="150"/>
      <c r="D20" s="29" t="s">
        <v>119</v>
      </c>
      <c r="E20" s="39"/>
      <c r="F20" s="39"/>
      <c r="G20" s="39"/>
      <c r="H20" s="7"/>
      <c r="I20" s="20"/>
      <c r="J20" s="19"/>
    </row>
    <row r="21" spans="1:10" ht="23.25" customHeight="1" x14ac:dyDescent="0.25">
      <c r="A21" s="17" t="s">
        <v>95</v>
      </c>
      <c r="B21" s="150" t="s">
        <v>33</v>
      </c>
      <c r="C21" s="150"/>
      <c r="D21" s="29" t="s">
        <v>34</v>
      </c>
      <c r="E21" s="39"/>
      <c r="F21" s="39"/>
      <c r="G21" s="39"/>
      <c r="H21" s="7"/>
      <c r="I21" s="20"/>
      <c r="J21" s="19"/>
    </row>
    <row r="22" spans="1:10" ht="23.25" customHeight="1" x14ac:dyDescent="0.25">
      <c r="A22" s="16" t="s">
        <v>96</v>
      </c>
      <c r="B22" s="150" t="s">
        <v>26</v>
      </c>
      <c r="C22" s="150"/>
      <c r="D22" s="29" t="s">
        <v>69</v>
      </c>
      <c r="E22" s="39"/>
      <c r="F22" s="39"/>
      <c r="G22" s="39"/>
      <c r="H22" s="7"/>
      <c r="I22" s="20"/>
      <c r="J22" s="19"/>
    </row>
    <row r="23" spans="1:10" ht="23.25" customHeight="1" x14ac:dyDescent="0.25">
      <c r="A23" s="17" t="s">
        <v>97</v>
      </c>
      <c r="B23" s="150" t="s">
        <v>27</v>
      </c>
      <c r="C23" s="150"/>
      <c r="D23" s="29" t="s">
        <v>28</v>
      </c>
      <c r="E23" s="39"/>
      <c r="F23" s="39"/>
      <c r="G23" s="39"/>
      <c r="H23" s="7"/>
      <c r="I23" s="20"/>
      <c r="J23" s="19"/>
    </row>
    <row r="24" spans="1:10" ht="23.25" customHeight="1" x14ac:dyDescent="0.25">
      <c r="A24" s="16" t="s">
        <v>98</v>
      </c>
      <c r="B24" s="150" t="s">
        <v>29</v>
      </c>
      <c r="C24" s="150"/>
      <c r="D24" s="29"/>
      <c r="E24" s="39"/>
      <c r="F24" s="39"/>
      <c r="G24" s="39"/>
      <c r="H24" s="7"/>
      <c r="I24" s="20"/>
      <c r="J24" s="19"/>
    </row>
    <row r="25" spans="1:10" ht="23.25" customHeight="1" x14ac:dyDescent="0.25">
      <c r="A25" s="17" t="s">
        <v>99</v>
      </c>
      <c r="B25" s="150" t="s">
        <v>30</v>
      </c>
      <c r="C25" s="150"/>
      <c r="D25" s="29" t="s">
        <v>35</v>
      </c>
      <c r="E25" s="39"/>
      <c r="F25" s="39"/>
      <c r="G25" s="39"/>
      <c r="H25" s="7"/>
      <c r="I25" s="20"/>
      <c r="J25" s="19"/>
    </row>
    <row r="26" spans="1:10" ht="23.25" customHeight="1" x14ac:dyDescent="0.25">
      <c r="A26" s="16" t="s">
        <v>100</v>
      </c>
      <c r="B26" s="150" t="s">
        <v>31</v>
      </c>
      <c r="C26" s="150"/>
      <c r="D26" s="29" t="s">
        <v>32</v>
      </c>
      <c r="E26" s="39"/>
      <c r="F26" s="39"/>
      <c r="G26" s="39"/>
      <c r="H26" s="7"/>
      <c r="I26" s="20"/>
      <c r="J26" s="19"/>
    </row>
    <row r="27" spans="1:10" ht="46.5" customHeight="1" x14ac:dyDescent="0.25">
      <c r="A27" s="17" t="s">
        <v>101</v>
      </c>
      <c r="B27" s="143" t="s">
        <v>70</v>
      </c>
      <c r="C27" s="144"/>
      <c r="D27" s="29" t="s">
        <v>64</v>
      </c>
      <c r="E27" s="39"/>
      <c r="F27" s="39"/>
      <c r="G27" s="39"/>
      <c r="H27" s="7"/>
      <c r="I27" s="20"/>
      <c r="J27" s="19"/>
    </row>
    <row r="28" spans="1:10" ht="23.25" customHeight="1" x14ac:dyDescent="0.25">
      <c r="A28" s="145" t="s">
        <v>54</v>
      </c>
      <c r="B28" s="146"/>
      <c r="C28" s="146"/>
      <c r="D28" s="146"/>
      <c r="E28" s="146"/>
      <c r="F28" s="146"/>
      <c r="G28" s="146"/>
      <c r="H28" s="146"/>
      <c r="I28" s="146"/>
      <c r="J28" s="147"/>
    </row>
    <row r="29" spans="1:10" ht="24.75" customHeight="1" x14ac:dyDescent="0.25">
      <c r="A29" s="33">
        <v>15</v>
      </c>
      <c r="B29" s="143" t="s">
        <v>55</v>
      </c>
      <c r="C29" s="144"/>
      <c r="D29" s="54"/>
      <c r="E29" s="39"/>
      <c r="F29" s="39"/>
      <c r="G29" s="39"/>
      <c r="H29" s="7"/>
      <c r="I29" s="20"/>
      <c r="J29" s="19"/>
    </row>
    <row r="30" spans="1:10" ht="24.75" customHeight="1" x14ac:dyDescent="0.25">
      <c r="A30" s="33">
        <v>16</v>
      </c>
      <c r="B30" s="143" t="s">
        <v>56</v>
      </c>
      <c r="C30" s="144"/>
      <c r="D30" s="54"/>
      <c r="E30" s="39"/>
      <c r="F30" s="39"/>
      <c r="G30" s="39"/>
      <c r="H30" s="7"/>
      <c r="I30" s="20"/>
      <c r="J30" s="19"/>
    </row>
    <row r="31" spans="1:10" ht="37.5" customHeight="1" x14ac:dyDescent="0.25">
      <c r="A31" s="33">
        <v>17</v>
      </c>
      <c r="B31" s="143" t="s">
        <v>49</v>
      </c>
      <c r="C31" s="144"/>
      <c r="D31" s="54"/>
      <c r="E31" s="39"/>
      <c r="F31" s="39"/>
      <c r="G31" s="39"/>
      <c r="H31" s="7"/>
      <c r="I31" s="20"/>
      <c r="J31" s="19"/>
    </row>
    <row r="32" spans="1:10" ht="30" customHeight="1" x14ac:dyDescent="0.25">
      <c r="A32" s="33">
        <v>18</v>
      </c>
      <c r="B32" s="143" t="s">
        <v>57</v>
      </c>
      <c r="C32" s="144"/>
      <c r="D32" s="54"/>
      <c r="E32" s="39"/>
      <c r="F32" s="39"/>
      <c r="G32" s="39"/>
      <c r="H32" s="7"/>
      <c r="I32" s="20"/>
      <c r="J32" s="19"/>
    </row>
    <row r="33" spans="1:10" ht="24.75" customHeight="1" x14ac:dyDescent="0.25">
      <c r="A33" s="33">
        <v>19</v>
      </c>
      <c r="B33" s="143" t="s">
        <v>50</v>
      </c>
      <c r="C33" s="144"/>
      <c r="D33" s="54"/>
      <c r="E33" s="39"/>
      <c r="F33" s="39"/>
      <c r="G33" s="39"/>
      <c r="H33" s="7"/>
      <c r="I33" s="20"/>
      <c r="J33" s="19"/>
    </row>
    <row r="34" spans="1:10" ht="24.75" customHeight="1" x14ac:dyDescent="0.25">
      <c r="A34" s="33">
        <v>20</v>
      </c>
      <c r="B34" s="143" t="s">
        <v>51</v>
      </c>
      <c r="C34" s="144"/>
      <c r="D34" s="54"/>
      <c r="E34" s="39"/>
      <c r="F34" s="39"/>
      <c r="G34" s="39"/>
      <c r="H34" s="7"/>
      <c r="I34" s="20"/>
      <c r="J34" s="19"/>
    </row>
    <row r="35" spans="1:10" ht="24.75" customHeight="1" x14ac:dyDescent="0.25">
      <c r="A35" s="33">
        <v>21</v>
      </c>
      <c r="B35" s="143" t="s">
        <v>52</v>
      </c>
      <c r="C35" s="144"/>
      <c r="D35" s="54"/>
      <c r="E35" s="39"/>
      <c r="F35" s="39"/>
      <c r="G35" s="39"/>
      <c r="H35" s="7"/>
      <c r="I35" s="20"/>
      <c r="J35" s="19"/>
    </row>
    <row r="36" spans="1:10" ht="24.75" customHeight="1" x14ac:dyDescent="0.25">
      <c r="A36" s="33">
        <v>22</v>
      </c>
      <c r="B36" s="143" t="s">
        <v>53</v>
      </c>
      <c r="C36" s="144"/>
      <c r="D36" s="54"/>
      <c r="E36" s="39"/>
      <c r="F36" s="39"/>
      <c r="G36" s="39"/>
      <c r="H36" s="7"/>
      <c r="I36" s="20"/>
      <c r="J36" s="19"/>
    </row>
    <row r="37" spans="1:10" ht="23.25" customHeight="1" x14ac:dyDescent="0.25">
      <c r="A37" s="145" t="s">
        <v>67</v>
      </c>
      <c r="B37" s="146"/>
      <c r="C37" s="146"/>
      <c r="D37" s="146"/>
      <c r="E37" s="146"/>
      <c r="F37" s="146"/>
      <c r="G37" s="146"/>
      <c r="H37" s="146"/>
      <c r="I37" s="146"/>
      <c r="J37" s="147"/>
    </row>
    <row r="38" spans="1:10" ht="23.25" customHeight="1" x14ac:dyDescent="0.25">
      <c r="A38" s="151" t="s">
        <v>66</v>
      </c>
      <c r="B38" s="152"/>
      <c r="C38" s="152"/>
      <c r="D38" s="152"/>
      <c r="E38" s="152"/>
      <c r="F38" s="152"/>
      <c r="G38" s="152"/>
      <c r="H38" s="152"/>
      <c r="I38" s="152"/>
      <c r="J38" s="153"/>
    </row>
    <row r="39" spans="1:10" ht="33.75" customHeight="1" x14ac:dyDescent="0.25">
      <c r="A39" s="16" t="s">
        <v>125</v>
      </c>
      <c r="B39" s="143" t="s">
        <v>74</v>
      </c>
      <c r="C39" s="144"/>
      <c r="D39" s="29"/>
      <c r="E39" s="39"/>
      <c r="F39" s="39"/>
      <c r="G39" s="39"/>
      <c r="H39" s="7"/>
      <c r="I39" s="20"/>
      <c r="J39" s="19"/>
    </row>
    <row r="40" spans="1:10" ht="30" customHeight="1" x14ac:dyDescent="0.25">
      <c r="A40" s="16" t="s">
        <v>126</v>
      </c>
      <c r="B40" s="143" t="s">
        <v>48</v>
      </c>
      <c r="C40" s="144"/>
      <c r="D40" s="29" t="s">
        <v>137</v>
      </c>
      <c r="E40" s="39"/>
      <c r="F40" s="39"/>
      <c r="G40" s="39"/>
      <c r="H40" s="7"/>
      <c r="I40" s="20"/>
      <c r="J40" s="19"/>
    </row>
    <row r="41" spans="1:10" ht="48.75" customHeight="1" x14ac:dyDescent="0.25">
      <c r="A41" s="16" t="s">
        <v>102</v>
      </c>
      <c r="B41" s="143" t="s">
        <v>40</v>
      </c>
      <c r="C41" s="144"/>
      <c r="D41" s="29" t="s">
        <v>58</v>
      </c>
      <c r="E41" s="39"/>
      <c r="F41" s="39"/>
      <c r="G41" s="39"/>
      <c r="H41" s="7"/>
      <c r="I41" s="20"/>
      <c r="J41" s="19"/>
    </row>
    <row r="42" spans="1:10" ht="39" customHeight="1" x14ac:dyDescent="0.25">
      <c r="A42" s="16" t="s">
        <v>103</v>
      </c>
      <c r="B42" s="143" t="s">
        <v>120</v>
      </c>
      <c r="C42" s="144"/>
      <c r="D42" s="29" t="s">
        <v>121</v>
      </c>
      <c r="E42" s="39"/>
      <c r="F42" s="39"/>
      <c r="G42" s="39"/>
      <c r="H42" s="7"/>
      <c r="I42" s="20"/>
      <c r="J42" s="19"/>
    </row>
    <row r="43" spans="1:10" ht="51.75" customHeight="1" x14ac:dyDescent="0.25">
      <c r="A43" s="16" t="s">
        <v>104</v>
      </c>
      <c r="B43" s="143" t="s">
        <v>129</v>
      </c>
      <c r="C43" s="144"/>
      <c r="D43" s="29" t="s">
        <v>75</v>
      </c>
      <c r="E43" s="39"/>
      <c r="F43" s="39"/>
      <c r="G43" s="39"/>
      <c r="H43" s="7"/>
      <c r="I43" s="20"/>
      <c r="J43" s="19"/>
    </row>
    <row r="44" spans="1:10" ht="51.75" customHeight="1" x14ac:dyDescent="0.25">
      <c r="A44" s="16" t="s">
        <v>105</v>
      </c>
      <c r="B44" s="143" t="s">
        <v>130</v>
      </c>
      <c r="C44" s="144"/>
      <c r="D44" s="29" t="s">
        <v>36</v>
      </c>
      <c r="E44" s="39"/>
      <c r="F44" s="39"/>
      <c r="G44" s="39"/>
      <c r="H44" s="7"/>
      <c r="I44" s="20"/>
      <c r="J44" s="19"/>
    </row>
    <row r="45" spans="1:10" ht="46.5" customHeight="1" x14ac:dyDescent="0.25">
      <c r="A45" s="16" t="s">
        <v>106</v>
      </c>
      <c r="B45" s="143" t="s">
        <v>132</v>
      </c>
      <c r="C45" s="144"/>
      <c r="D45" s="29"/>
      <c r="E45" s="39"/>
      <c r="F45" s="39"/>
      <c r="G45" s="39"/>
      <c r="H45" s="7"/>
      <c r="I45" s="20"/>
      <c r="J45" s="19"/>
    </row>
    <row r="46" spans="1:10" ht="44.25" customHeight="1" x14ac:dyDescent="0.25">
      <c r="A46" s="16" t="s">
        <v>107</v>
      </c>
      <c r="B46" s="143" t="s">
        <v>131</v>
      </c>
      <c r="C46" s="144"/>
      <c r="D46" s="30" t="s">
        <v>76</v>
      </c>
      <c r="E46" s="39"/>
      <c r="F46" s="39"/>
      <c r="G46" s="39"/>
      <c r="H46" s="7"/>
      <c r="I46" s="20"/>
      <c r="J46" s="19"/>
    </row>
    <row r="47" spans="1:10" ht="255.75" customHeight="1" x14ac:dyDescent="0.25">
      <c r="A47" s="16" t="s">
        <v>108</v>
      </c>
      <c r="B47" s="143" t="s">
        <v>71</v>
      </c>
      <c r="C47" s="144"/>
      <c r="D47" s="29"/>
      <c r="E47" s="39"/>
      <c r="F47" s="39"/>
      <c r="G47" s="39"/>
      <c r="H47" s="7"/>
      <c r="I47" s="20"/>
      <c r="J47" s="19"/>
    </row>
    <row r="48" spans="1:10" ht="100.5" customHeight="1" x14ac:dyDescent="0.25">
      <c r="A48" s="16" t="s">
        <v>109</v>
      </c>
      <c r="B48" s="143" t="s">
        <v>122</v>
      </c>
      <c r="C48" s="144"/>
      <c r="D48" s="29" t="s">
        <v>77</v>
      </c>
      <c r="E48" s="39"/>
      <c r="F48" s="39"/>
      <c r="G48" s="39"/>
      <c r="H48" s="7"/>
      <c r="I48" s="20"/>
      <c r="J48" s="19"/>
    </row>
    <row r="49" spans="1:10" ht="60" customHeight="1" x14ac:dyDescent="0.25">
      <c r="A49" s="16" t="s">
        <v>110</v>
      </c>
      <c r="B49" s="150" t="s">
        <v>79</v>
      </c>
      <c r="C49" s="150"/>
      <c r="D49" s="29"/>
      <c r="E49" s="39"/>
      <c r="F49" s="39"/>
      <c r="G49" s="39"/>
      <c r="H49" s="7"/>
      <c r="I49" s="20"/>
      <c r="J49" s="19"/>
    </row>
    <row r="50" spans="1:10" ht="24.75" customHeight="1" x14ac:dyDescent="0.25">
      <c r="A50" s="145" t="s">
        <v>59</v>
      </c>
      <c r="B50" s="146"/>
      <c r="C50" s="146"/>
      <c r="D50" s="146"/>
      <c r="E50" s="146"/>
      <c r="F50" s="146"/>
      <c r="G50" s="146"/>
      <c r="H50" s="146"/>
      <c r="I50" s="146"/>
      <c r="J50" s="147"/>
    </row>
    <row r="51" spans="1:10" ht="24.75" customHeight="1" x14ac:dyDescent="0.25">
      <c r="A51" s="151" t="s">
        <v>60</v>
      </c>
      <c r="B51" s="152"/>
      <c r="C51" s="152"/>
      <c r="D51" s="152"/>
      <c r="E51" s="152"/>
      <c r="F51" s="152"/>
      <c r="G51" s="152"/>
      <c r="H51" s="152"/>
      <c r="I51" s="152"/>
      <c r="J51" s="153"/>
    </row>
    <row r="52" spans="1:10" ht="124.5" customHeight="1" x14ac:dyDescent="0.25">
      <c r="A52" s="148" t="s">
        <v>111</v>
      </c>
      <c r="B52" s="154" t="s">
        <v>80</v>
      </c>
      <c r="C52" s="155"/>
      <c r="D52" s="158" t="s">
        <v>82</v>
      </c>
      <c r="E52" s="41"/>
      <c r="F52" s="42"/>
      <c r="G52" s="42"/>
      <c r="H52" s="43"/>
      <c r="I52" s="43"/>
      <c r="J52" s="44"/>
    </row>
    <row r="53" spans="1:10" ht="36.75" customHeight="1" x14ac:dyDescent="0.25">
      <c r="A53" s="149"/>
      <c r="B53" s="156"/>
      <c r="C53" s="157"/>
      <c r="D53" s="159"/>
      <c r="E53" s="45"/>
      <c r="F53" s="46"/>
      <c r="G53" s="46"/>
      <c r="H53" s="47"/>
      <c r="I53" s="47"/>
      <c r="J53" s="48"/>
    </row>
    <row r="54" spans="1:10" ht="24.75" customHeight="1" x14ac:dyDescent="0.25">
      <c r="A54" s="16" t="s">
        <v>112</v>
      </c>
      <c r="B54" s="143" t="s">
        <v>61</v>
      </c>
      <c r="C54" s="144"/>
      <c r="D54" s="29" t="s">
        <v>81</v>
      </c>
      <c r="E54" s="49"/>
      <c r="F54" s="49"/>
      <c r="G54" s="49"/>
      <c r="H54" s="50"/>
      <c r="I54" s="51"/>
      <c r="J54" s="52"/>
    </row>
    <row r="55" spans="1:10" ht="150" customHeight="1" x14ac:dyDescent="0.25">
      <c r="A55" s="148" t="s">
        <v>113</v>
      </c>
      <c r="B55" s="150" t="s">
        <v>78</v>
      </c>
      <c r="C55" s="150"/>
      <c r="D55" s="31"/>
      <c r="E55" s="49"/>
      <c r="F55" s="49"/>
      <c r="G55" s="49"/>
      <c r="H55" s="50"/>
      <c r="I55" s="51"/>
      <c r="J55" s="52"/>
    </row>
    <row r="56" spans="1:10" ht="116.25" customHeight="1" x14ac:dyDescent="0.25">
      <c r="A56" s="149"/>
      <c r="B56" s="143" t="s">
        <v>83</v>
      </c>
      <c r="C56" s="144"/>
      <c r="D56" s="29" t="s">
        <v>84</v>
      </c>
      <c r="E56" s="49"/>
      <c r="F56" s="49"/>
      <c r="G56" s="49"/>
      <c r="H56" s="50"/>
      <c r="I56" s="51"/>
      <c r="J56" s="52"/>
    </row>
    <row r="57" spans="1:10" ht="102" customHeight="1" x14ac:dyDescent="0.25">
      <c r="A57" s="36" t="s">
        <v>114</v>
      </c>
      <c r="B57" s="143" t="s">
        <v>135</v>
      </c>
      <c r="C57" s="144"/>
      <c r="D57" s="32"/>
      <c r="E57" s="49"/>
      <c r="F57" s="49"/>
      <c r="G57" s="49"/>
      <c r="H57" s="50"/>
      <c r="I57" s="51"/>
      <c r="J57" s="52"/>
    </row>
    <row r="58" spans="1:10" ht="87.75" customHeight="1" x14ac:dyDescent="0.25">
      <c r="A58" s="36" t="s">
        <v>115</v>
      </c>
      <c r="B58" s="143" t="s">
        <v>123</v>
      </c>
      <c r="C58" s="144"/>
      <c r="D58" s="29" t="s">
        <v>77</v>
      </c>
      <c r="E58" s="49"/>
      <c r="F58" s="49"/>
      <c r="G58" s="49"/>
      <c r="H58" s="50"/>
      <c r="I58" s="51"/>
      <c r="J58" s="52"/>
    </row>
    <row r="59" spans="1:10" ht="54.75" customHeight="1" x14ac:dyDescent="0.25">
      <c r="A59" s="16" t="s">
        <v>116</v>
      </c>
      <c r="B59" s="150" t="s">
        <v>85</v>
      </c>
      <c r="C59" s="150"/>
      <c r="D59" s="32"/>
      <c r="E59" s="49"/>
      <c r="F59" s="49"/>
      <c r="G59" s="49"/>
      <c r="H59" s="50"/>
      <c r="I59" s="51"/>
      <c r="J59" s="52"/>
    </row>
    <row r="60" spans="1:10" ht="24.75" customHeight="1" x14ac:dyDescent="0.25">
      <c r="A60" s="145" t="s">
        <v>62</v>
      </c>
      <c r="B60" s="146"/>
      <c r="C60" s="146"/>
      <c r="D60" s="146"/>
      <c r="E60" s="146"/>
      <c r="F60" s="146"/>
      <c r="G60" s="146"/>
      <c r="H60" s="146"/>
      <c r="I60" s="146"/>
      <c r="J60" s="147"/>
    </row>
    <row r="61" spans="1:10" ht="39" customHeight="1" x14ac:dyDescent="0.25">
      <c r="A61" s="151" t="s">
        <v>63</v>
      </c>
      <c r="B61" s="152"/>
      <c r="C61" s="152"/>
      <c r="D61" s="152"/>
      <c r="E61" s="152"/>
      <c r="F61" s="152"/>
      <c r="G61" s="152"/>
      <c r="H61" s="152"/>
      <c r="I61" s="152"/>
      <c r="J61" s="153"/>
    </row>
    <row r="62" spans="1:10" ht="61.5" customHeight="1" x14ac:dyDescent="0.25">
      <c r="A62" s="16" t="s">
        <v>117</v>
      </c>
      <c r="B62" s="143" t="s">
        <v>65</v>
      </c>
      <c r="C62" s="144"/>
      <c r="D62" s="34"/>
      <c r="E62" s="39"/>
      <c r="F62" s="39"/>
      <c r="G62" s="39"/>
      <c r="H62" s="7"/>
      <c r="I62" s="20"/>
      <c r="J62" s="19"/>
    </row>
    <row r="63" spans="1:10" ht="69.75" customHeight="1" x14ac:dyDescent="0.25">
      <c r="A63" s="17" t="s">
        <v>118</v>
      </c>
      <c r="B63" s="143" t="s">
        <v>124</v>
      </c>
      <c r="C63" s="144"/>
      <c r="D63" s="34"/>
      <c r="E63" s="39"/>
      <c r="F63" s="39"/>
      <c r="G63" s="39"/>
      <c r="H63" s="7"/>
      <c r="I63" s="20"/>
      <c r="J63" s="19"/>
    </row>
    <row r="64" spans="1:10" ht="55.5" customHeight="1" x14ac:dyDescent="0.25">
      <c r="A64" s="17" t="s">
        <v>127</v>
      </c>
      <c r="B64" s="143" t="s">
        <v>87</v>
      </c>
      <c r="C64" s="144"/>
      <c r="D64" s="29" t="s">
        <v>77</v>
      </c>
      <c r="E64" s="39"/>
      <c r="F64" s="39"/>
      <c r="G64" s="39"/>
      <c r="H64" s="7"/>
      <c r="I64" s="20"/>
      <c r="J64" s="19"/>
    </row>
    <row r="65" spans="1:10" ht="102" customHeight="1" x14ac:dyDescent="0.25">
      <c r="A65" s="17" t="s">
        <v>128</v>
      </c>
      <c r="B65" s="150" t="s">
        <v>86</v>
      </c>
      <c r="C65" s="150"/>
      <c r="D65" s="34"/>
      <c r="E65" s="39"/>
      <c r="F65" s="39"/>
      <c r="G65" s="39"/>
      <c r="H65" s="7"/>
      <c r="I65" s="20"/>
      <c r="J65" s="19"/>
    </row>
    <row r="66" spans="1:10" x14ac:dyDescent="0.25">
      <c r="A66" s="53"/>
    </row>
    <row r="67" spans="1:10" x14ac:dyDescent="0.25">
      <c r="A67" s="53"/>
    </row>
    <row r="68" spans="1:10" x14ac:dyDescent="0.25">
      <c r="A68" s="53"/>
    </row>
  </sheetData>
  <mergeCells count="63">
    <mergeCell ref="A9:G9"/>
    <mergeCell ref="B47:C47"/>
    <mergeCell ref="B49:C49"/>
    <mergeCell ref="A38:J38"/>
    <mergeCell ref="B45:C45"/>
    <mergeCell ref="B35:C35"/>
    <mergeCell ref="B36:C36"/>
    <mergeCell ref="B43:C43"/>
    <mergeCell ref="B30:C30"/>
    <mergeCell ref="B31:C31"/>
    <mergeCell ref="B32:C32"/>
    <mergeCell ref="E12:G12"/>
    <mergeCell ref="B19:C19"/>
    <mergeCell ref="B26:C26"/>
    <mergeCell ref="A28:J28"/>
    <mergeCell ref="B29:C29"/>
    <mergeCell ref="B65:C65"/>
    <mergeCell ref="B13:C13"/>
    <mergeCell ref="B14:C14"/>
    <mergeCell ref="B15:C15"/>
    <mergeCell ref="B16:C16"/>
    <mergeCell ref="B20:C20"/>
    <mergeCell ref="B17:C17"/>
    <mergeCell ref="B18:C18"/>
    <mergeCell ref="B24:C24"/>
    <mergeCell ref="B25:C25"/>
    <mergeCell ref="B27:C27"/>
    <mergeCell ref="B21:C21"/>
    <mergeCell ref="A61:J61"/>
    <mergeCell ref="A60:J60"/>
    <mergeCell ref="B22:C22"/>
    <mergeCell ref="B23:C23"/>
    <mergeCell ref="A1:B1"/>
    <mergeCell ref="A2:B2"/>
    <mergeCell ref="A3:B3"/>
    <mergeCell ref="A4:B4"/>
    <mergeCell ref="A7:G7"/>
    <mergeCell ref="F1:H1"/>
    <mergeCell ref="B64:C64"/>
    <mergeCell ref="B63:C63"/>
    <mergeCell ref="B44:C44"/>
    <mergeCell ref="B57:C57"/>
    <mergeCell ref="B58:C58"/>
    <mergeCell ref="B48:C48"/>
    <mergeCell ref="A51:J51"/>
    <mergeCell ref="B52:C53"/>
    <mergeCell ref="A52:A53"/>
    <mergeCell ref="B62:C62"/>
    <mergeCell ref="B54:C54"/>
    <mergeCell ref="B46:C46"/>
    <mergeCell ref="D52:D53"/>
    <mergeCell ref="B33:C33"/>
    <mergeCell ref="B34:C34"/>
    <mergeCell ref="A50:J50"/>
    <mergeCell ref="A55:A56"/>
    <mergeCell ref="B59:C59"/>
    <mergeCell ref="B55:C55"/>
    <mergeCell ref="B56:C56"/>
    <mergeCell ref="A37:J37"/>
    <mergeCell ref="B39:C39"/>
    <mergeCell ref="B40:C40"/>
    <mergeCell ref="B41:C41"/>
    <mergeCell ref="B42:C42"/>
  </mergeCells>
  <phoneticPr fontId="8" type="noConversion"/>
  <conditionalFormatting sqref="B14:C14 A37 B27 B29:B36 A62:A65 B16:C26 A54 B46 A14:A28">
    <cfRule type="expression" dxfId="29" priority="108">
      <formula>$F14&lt;&gt;""</formula>
    </cfRule>
  </conditionalFormatting>
  <conditionalFormatting sqref="D14">
    <cfRule type="expression" dxfId="28" priority="105">
      <formula>$F14&lt;&gt;""</formula>
    </cfRule>
  </conditionalFormatting>
  <conditionalFormatting sqref="B62">
    <cfRule type="expression" dxfId="27" priority="116">
      <formula>#REF!&lt;&gt;""</formula>
    </cfRule>
  </conditionalFormatting>
  <conditionalFormatting sqref="B15:C15">
    <cfRule type="expression" dxfId="26" priority="89">
      <formula>$F15&lt;&gt;""</formula>
    </cfRule>
  </conditionalFormatting>
  <conditionalFormatting sqref="D65:J65 D59">
    <cfRule type="expression" dxfId="25" priority="80">
      <formula>$G$62&lt;&gt;""</formula>
    </cfRule>
  </conditionalFormatting>
  <conditionalFormatting sqref="B39">
    <cfRule type="expression" dxfId="24" priority="56">
      <formula>#REF!&lt;&gt;""</formula>
    </cfRule>
  </conditionalFormatting>
  <conditionalFormatting sqref="B39">
    <cfRule type="expression" dxfId="23" priority="55">
      <formula>$G$62&lt;&gt;""</formula>
    </cfRule>
  </conditionalFormatting>
  <conditionalFormatting sqref="B40">
    <cfRule type="expression" dxfId="22" priority="54">
      <formula>#REF!&lt;&gt;""</formula>
    </cfRule>
  </conditionalFormatting>
  <conditionalFormatting sqref="B40">
    <cfRule type="expression" dxfId="21" priority="53">
      <formula>$G$62&lt;&gt;""</formula>
    </cfRule>
  </conditionalFormatting>
  <conditionalFormatting sqref="D41">
    <cfRule type="expression" dxfId="20" priority="52">
      <formula>$G$62&lt;&gt;""</formula>
    </cfRule>
  </conditionalFormatting>
  <conditionalFormatting sqref="B41">
    <cfRule type="expression" dxfId="19" priority="51">
      <formula>#REF!&lt;&gt;""</formula>
    </cfRule>
  </conditionalFormatting>
  <conditionalFormatting sqref="B41">
    <cfRule type="expression" dxfId="18" priority="50">
      <formula>$G$62&lt;&gt;""</formula>
    </cfRule>
  </conditionalFormatting>
  <conditionalFormatting sqref="B42:B44">
    <cfRule type="expression" dxfId="17" priority="49">
      <formula>#REF!&lt;&gt;""</formula>
    </cfRule>
  </conditionalFormatting>
  <conditionalFormatting sqref="A50">
    <cfRule type="expression" dxfId="16" priority="39">
      <formula>$F50&lt;&gt;""</formula>
    </cfRule>
  </conditionalFormatting>
  <conditionalFormatting sqref="B54">
    <cfRule type="expression" dxfId="15" priority="33">
      <formula>#REF!&lt;&gt;""</formula>
    </cfRule>
  </conditionalFormatting>
  <conditionalFormatting sqref="B52">
    <cfRule type="expression" dxfId="14" priority="29">
      <formula>#REF!&lt;&gt;""</formula>
    </cfRule>
  </conditionalFormatting>
  <conditionalFormatting sqref="A60">
    <cfRule type="expression" dxfId="13" priority="27">
      <formula>$F60&lt;&gt;""</formula>
    </cfRule>
  </conditionalFormatting>
  <conditionalFormatting sqref="B47">
    <cfRule type="expression" dxfId="12" priority="25">
      <formula>#REF!&lt;&gt;""</formula>
    </cfRule>
  </conditionalFormatting>
  <conditionalFormatting sqref="B45">
    <cfRule type="expression" dxfId="11" priority="17">
      <formula>$F45&lt;&gt;""</formula>
    </cfRule>
  </conditionalFormatting>
  <conditionalFormatting sqref="D56:D57">
    <cfRule type="expression" dxfId="10" priority="14">
      <formula>$G$62&lt;&gt;""</formula>
    </cfRule>
  </conditionalFormatting>
  <conditionalFormatting sqref="A39 A41 A43 A45 A47 A49">
    <cfRule type="expression" dxfId="9" priority="12">
      <formula>$F39&lt;&gt;""</formula>
    </cfRule>
  </conditionalFormatting>
  <conditionalFormatting sqref="A40 A42 A44 A46 A48">
    <cfRule type="expression" dxfId="8" priority="11">
      <formula>$F40&lt;&gt;""</formula>
    </cfRule>
  </conditionalFormatting>
  <conditionalFormatting sqref="A59">
    <cfRule type="expression" dxfId="7" priority="10">
      <formula>$F59&lt;&gt;""</formula>
    </cfRule>
  </conditionalFormatting>
  <conditionalFormatting sqref="A52 A55">
    <cfRule type="expression" dxfId="6" priority="9">
      <formula>$F52&lt;&gt;""</formula>
    </cfRule>
  </conditionalFormatting>
  <conditionalFormatting sqref="D44">
    <cfRule type="expression" dxfId="5" priority="8">
      <formula>$G$62&lt;&gt;""</formula>
    </cfRule>
  </conditionalFormatting>
  <conditionalFormatting sqref="B57">
    <cfRule type="expression" dxfId="4" priority="5">
      <formula>#REF!&lt;&gt;""</formula>
    </cfRule>
  </conditionalFormatting>
  <conditionalFormatting sqref="B58">
    <cfRule type="expression" dxfId="3" priority="4">
      <formula>$F58&lt;&gt;""</formula>
    </cfRule>
  </conditionalFormatting>
  <conditionalFormatting sqref="B48">
    <cfRule type="expression" dxfId="2" priority="3">
      <formula>$F48&lt;&gt;""</formula>
    </cfRule>
  </conditionalFormatting>
  <conditionalFormatting sqref="B64">
    <cfRule type="expression" dxfId="1" priority="2">
      <formula>$F64&lt;&gt;""</formula>
    </cfRule>
  </conditionalFormatting>
  <conditionalFormatting sqref="B63">
    <cfRule type="expression" dxfId="0" priority="1">
      <formula>#REF!&lt;&gt;""</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004A-91AE-40AB-989F-8BDDD9EB1FA5}">
  <sheetPr codeName="Sheet1"/>
  <dimension ref="A1:T46"/>
  <sheetViews>
    <sheetView topLeftCell="A13" workbookViewId="0">
      <selection activeCell="K17" sqref="K17"/>
    </sheetView>
  </sheetViews>
  <sheetFormatPr defaultRowHeight="15" x14ac:dyDescent="0.25"/>
  <cols>
    <col min="1" max="1" width="20" bestFit="1" customWidth="1"/>
    <col min="2" max="2" width="45.85546875" customWidth="1"/>
    <col min="3" max="3" width="46.85546875" customWidth="1"/>
    <col min="4" max="4" width="44" customWidth="1"/>
    <col min="5" max="5" width="43.7109375" customWidth="1"/>
    <col min="6" max="6" width="34" customWidth="1"/>
    <col min="7" max="7" width="50.140625" customWidth="1"/>
    <col min="8" max="8" width="36.140625" customWidth="1"/>
    <col min="9" max="9" width="56.28515625" customWidth="1"/>
    <col min="10" max="10" width="39.85546875" customWidth="1"/>
    <col min="11" max="11" width="24.140625" customWidth="1"/>
    <col min="12" max="12" width="23.28515625" customWidth="1"/>
    <col min="13" max="13" width="32.42578125" customWidth="1"/>
    <col min="14" max="14" width="28.85546875" customWidth="1"/>
    <col min="16" max="16" width="8" customWidth="1"/>
    <col min="17" max="17" width="31" customWidth="1"/>
    <col min="18" max="18" width="36.7109375" customWidth="1"/>
    <col min="19" max="19" width="32.28515625" customWidth="1"/>
  </cols>
  <sheetData>
    <row r="1" spans="1:20" x14ac:dyDescent="0.25">
      <c r="A1" s="89"/>
      <c r="B1" s="89"/>
      <c r="C1" s="89"/>
      <c r="D1" s="7"/>
      <c r="E1" s="7"/>
      <c r="F1" s="7"/>
      <c r="G1" s="7"/>
      <c r="H1" s="7"/>
      <c r="I1" s="7"/>
      <c r="J1" s="7"/>
      <c r="K1" s="7"/>
      <c r="L1" s="7"/>
      <c r="M1" s="7"/>
      <c r="N1" s="7"/>
      <c r="O1" s="7"/>
      <c r="P1" s="7"/>
      <c r="Q1" s="7"/>
      <c r="R1" s="7"/>
      <c r="S1" s="7"/>
      <c r="T1" s="90"/>
    </row>
    <row r="2" spans="1:20" ht="105" x14ac:dyDescent="0.25">
      <c r="A2" s="89">
        <v>3.1</v>
      </c>
      <c r="B2" s="99" t="s">
        <v>376</v>
      </c>
      <c r="C2" s="100" t="s">
        <v>377</v>
      </c>
      <c r="D2" s="7" t="s">
        <v>441</v>
      </c>
      <c r="E2" s="7"/>
      <c r="F2" s="7"/>
      <c r="G2" s="7"/>
      <c r="H2" s="7"/>
      <c r="I2" s="7"/>
      <c r="J2" s="7"/>
      <c r="K2" s="7"/>
      <c r="L2" s="7"/>
      <c r="M2" s="7"/>
      <c r="N2" s="7"/>
      <c r="O2" s="7"/>
      <c r="P2" s="7"/>
      <c r="Q2" s="7"/>
      <c r="R2" s="7"/>
      <c r="S2" s="7"/>
      <c r="T2" s="90"/>
    </row>
    <row r="3" spans="1:20" ht="75" x14ac:dyDescent="0.25">
      <c r="A3" s="89">
        <v>3.2</v>
      </c>
      <c r="B3" s="99" t="s">
        <v>379</v>
      </c>
      <c r="C3" s="100" t="s">
        <v>378</v>
      </c>
      <c r="D3" s="7"/>
      <c r="E3" s="7"/>
      <c r="F3" s="7"/>
      <c r="G3" s="7"/>
      <c r="H3" s="7"/>
      <c r="I3" s="7"/>
      <c r="J3" s="7"/>
      <c r="K3" s="7"/>
      <c r="L3" s="7"/>
      <c r="M3" s="7"/>
      <c r="N3" s="7"/>
      <c r="O3" s="7"/>
      <c r="P3" s="7"/>
      <c r="Q3" s="7"/>
      <c r="R3" s="7"/>
      <c r="S3" s="7"/>
      <c r="T3" s="90"/>
    </row>
    <row r="4" spans="1:20" ht="45" x14ac:dyDescent="0.25">
      <c r="A4" s="89">
        <v>3.3</v>
      </c>
      <c r="B4" s="99" t="s">
        <v>374</v>
      </c>
      <c r="C4" s="100" t="s">
        <v>375</v>
      </c>
      <c r="D4" s="7"/>
      <c r="E4" s="7"/>
      <c r="F4" s="7"/>
      <c r="G4" s="7"/>
      <c r="H4" s="7"/>
      <c r="I4" s="7"/>
      <c r="J4" s="7"/>
      <c r="K4" s="7"/>
      <c r="L4" s="7"/>
      <c r="M4" s="7"/>
      <c r="N4" s="7"/>
      <c r="O4" s="7"/>
      <c r="P4" s="7"/>
      <c r="Q4" s="7"/>
      <c r="R4" s="7"/>
      <c r="S4" s="7"/>
      <c r="T4" s="90"/>
    </row>
    <row r="5" spans="1:20" ht="75" x14ac:dyDescent="0.25">
      <c r="A5" s="89">
        <v>3.4</v>
      </c>
      <c r="B5" s="99" t="s">
        <v>374</v>
      </c>
      <c r="C5" s="100" t="s">
        <v>380</v>
      </c>
      <c r="D5" s="7"/>
      <c r="E5" s="7"/>
      <c r="F5" s="7"/>
      <c r="G5" s="7"/>
      <c r="H5" s="7"/>
      <c r="I5" s="7"/>
      <c r="J5" s="7"/>
      <c r="K5" s="7"/>
      <c r="L5" s="7"/>
      <c r="M5" s="7"/>
      <c r="N5" s="7"/>
      <c r="O5" s="7"/>
      <c r="P5" s="7"/>
      <c r="Q5" s="7"/>
      <c r="R5" s="7"/>
      <c r="S5" s="7"/>
      <c r="T5" s="90"/>
    </row>
    <row r="6" spans="1:20" ht="60" x14ac:dyDescent="0.25">
      <c r="A6" s="89">
        <v>3.5</v>
      </c>
      <c r="B6" s="99" t="s">
        <v>374</v>
      </c>
      <c r="C6" s="100" t="s">
        <v>375</v>
      </c>
      <c r="D6" s="7" t="s">
        <v>152</v>
      </c>
      <c r="E6" s="7" t="s">
        <v>153</v>
      </c>
      <c r="F6" s="7"/>
      <c r="G6" s="7"/>
      <c r="H6" s="7"/>
      <c r="I6" s="7"/>
      <c r="J6" s="7"/>
      <c r="K6" s="7"/>
      <c r="L6" s="7"/>
      <c r="M6" s="7"/>
      <c r="N6" s="7"/>
      <c r="O6" s="7"/>
      <c r="P6" s="7"/>
      <c r="Q6" s="7"/>
      <c r="R6" s="7"/>
      <c r="S6" s="7"/>
      <c r="T6" s="90"/>
    </row>
    <row r="7" spans="1:20" ht="45" x14ac:dyDescent="0.25">
      <c r="A7" s="89">
        <v>3.6</v>
      </c>
      <c r="B7" s="99" t="s">
        <v>374</v>
      </c>
      <c r="C7" s="100" t="s">
        <v>375</v>
      </c>
      <c r="D7" s="7"/>
      <c r="E7" s="7"/>
      <c r="F7" s="7"/>
      <c r="G7" s="7"/>
      <c r="H7" s="7"/>
      <c r="I7" s="7"/>
      <c r="J7" s="7"/>
      <c r="K7" s="7"/>
      <c r="L7" s="7"/>
      <c r="M7" s="7"/>
      <c r="N7" s="7"/>
      <c r="O7" s="7"/>
      <c r="P7" s="7"/>
      <c r="Q7" s="7"/>
      <c r="R7" s="7"/>
      <c r="S7" s="7"/>
      <c r="T7" s="90"/>
    </row>
    <row r="8" spans="1:20" ht="45" x14ac:dyDescent="0.25">
      <c r="A8" s="89">
        <v>3.7</v>
      </c>
      <c r="B8" s="99" t="s">
        <v>374</v>
      </c>
      <c r="C8" s="100" t="s">
        <v>375</v>
      </c>
      <c r="D8" s="7"/>
      <c r="E8" s="7"/>
      <c r="F8" s="7"/>
      <c r="G8" s="7"/>
      <c r="H8" s="7"/>
      <c r="I8" s="7"/>
      <c r="J8" s="7"/>
      <c r="K8" s="7"/>
      <c r="L8" s="7"/>
      <c r="M8" s="7"/>
      <c r="N8" s="7"/>
      <c r="O8" s="7"/>
      <c r="P8" s="7"/>
      <c r="Q8" s="7"/>
      <c r="R8" s="7"/>
      <c r="S8" s="7"/>
      <c r="T8" s="90"/>
    </row>
    <row r="9" spans="1:20" ht="60" x14ac:dyDescent="0.25">
      <c r="A9" s="89">
        <v>3.8</v>
      </c>
      <c r="B9" s="99" t="s">
        <v>381</v>
      </c>
      <c r="C9" s="100" t="s">
        <v>387</v>
      </c>
      <c r="D9" s="7" t="s">
        <v>154</v>
      </c>
      <c r="E9" s="7" t="s">
        <v>409</v>
      </c>
      <c r="F9" s="7"/>
      <c r="G9" s="7"/>
      <c r="H9" s="7"/>
      <c r="I9" s="7"/>
      <c r="J9" s="7"/>
      <c r="K9" s="7"/>
      <c r="L9" s="7"/>
      <c r="M9" s="7"/>
      <c r="N9" s="7"/>
      <c r="O9" s="7"/>
      <c r="P9" s="7"/>
      <c r="Q9" s="7"/>
      <c r="R9" s="7"/>
      <c r="S9" s="7"/>
      <c r="T9" s="90"/>
    </row>
    <row r="10" spans="1:20" ht="45" x14ac:dyDescent="0.25">
      <c r="A10" s="89">
        <v>3.9</v>
      </c>
      <c r="B10" s="99" t="s">
        <v>374</v>
      </c>
      <c r="C10" s="100" t="s">
        <v>375</v>
      </c>
      <c r="D10" s="7"/>
      <c r="E10" s="7"/>
      <c r="F10" s="7"/>
      <c r="G10" s="7"/>
      <c r="H10" s="7"/>
      <c r="I10" s="7"/>
      <c r="J10" s="7"/>
      <c r="K10" s="7"/>
      <c r="L10" s="7"/>
      <c r="M10" s="7"/>
      <c r="N10" s="7"/>
      <c r="O10" s="7"/>
      <c r="P10" s="7"/>
      <c r="Q10" s="7"/>
      <c r="R10" s="7"/>
      <c r="S10" s="7"/>
      <c r="T10" s="90"/>
    </row>
    <row r="11" spans="1:20" ht="105" x14ac:dyDescent="0.25">
      <c r="A11" s="91">
        <v>3.1</v>
      </c>
      <c r="B11" s="99" t="s">
        <v>382</v>
      </c>
      <c r="C11" s="100" t="s">
        <v>383</v>
      </c>
      <c r="D11" s="7" t="s">
        <v>442</v>
      </c>
      <c r="E11" s="7" t="s">
        <v>410</v>
      </c>
      <c r="F11" s="7" t="s">
        <v>443</v>
      </c>
      <c r="G11" s="7" t="s">
        <v>444</v>
      </c>
      <c r="H11" s="7"/>
      <c r="I11" s="7"/>
      <c r="J11" s="7"/>
      <c r="K11" s="7"/>
      <c r="L11" s="7"/>
      <c r="M11" s="7"/>
      <c r="N11" s="7"/>
      <c r="O11" s="7"/>
      <c r="P11" s="7"/>
      <c r="Q11" s="7"/>
      <c r="R11" s="7"/>
      <c r="S11" s="7"/>
      <c r="T11" s="90"/>
    </row>
    <row r="12" spans="1:20" ht="45" x14ac:dyDescent="0.25">
      <c r="A12" s="89">
        <v>3.11</v>
      </c>
      <c r="B12" s="99" t="s">
        <v>374</v>
      </c>
      <c r="C12" s="100" t="s">
        <v>375</v>
      </c>
      <c r="D12" s="7"/>
      <c r="E12" s="7"/>
      <c r="F12" s="7"/>
      <c r="G12" s="7"/>
      <c r="H12" s="7"/>
      <c r="I12" s="7"/>
      <c r="J12" s="7"/>
      <c r="K12" s="7"/>
      <c r="L12" s="7"/>
      <c r="M12" s="7"/>
      <c r="N12" s="7"/>
      <c r="O12" s="7"/>
      <c r="P12" s="7"/>
      <c r="Q12" s="7"/>
      <c r="R12" s="7"/>
      <c r="S12" s="7"/>
      <c r="T12" s="90"/>
    </row>
    <row r="13" spans="1:20" ht="45" x14ac:dyDescent="0.25">
      <c r="A13" s="91">
        <v>3.12</v>
      </c>
      <c r="B13" s="99" t="s">
        <v>374</v>
      </c>
      <c r="C13" s="100" t="s">
        <v>375</v>
      </c>
      <c r="D13" s="7"/>
      <c r="E13" s="7"/>
      <c r="F13" s="7"/>
      <c r="G13" s="7"/>
      <c r="H13" s="7"/>
      <c r="I13" s="7"/>
      <c r="J13" s="7"/>
      <c r="K13" s="7"/>
      <c r="L13" s="7"/>
      <c r="M13" s="7"/>
      <c r="N13" s="7"/>
      <c r="O13" s="7"/>
      <c r="P13" s="7"/>
      <c r="Q13" s="7"/>
      <c r="R13" s="7"/>
      <c r="S13" s="7"/>
      <c r="T13" s="90"/>
    </row>
    <row r="14" spans="1:20" ht="45" x14ac:dyDescent="0.25">
      <c r="A14" s="89">
        <v>3.13</v>
      </c>
      <c r="B14" s="99" t="s">
        <v>374</v>
      </c>
      <c r="C14" s="100" t="s">
        <v>375</v>
      </c>
      <c r="D14" s="7"/>
      <c r="E14" s="7"/>
      <c r="F14" s="7"/>
      <c r="G14" s="7"/>
      <c r="H14" s="7"/>
      <c r="I14" s="7"/>
      <c r="J14" s="7"/>
      <c r="K14" s="7"/>
      <c r="L14" s="7"/>
      <c r="M14" s="7"/>
      <c r="N14" s="7"/>
      <c r="O14" s="7"/>
      <c r="P14" s="7"/>
      <c r="Q14" s="7"/>
      <c r="R14" s="7"/>
      <c r="S14" s="7"/>
      <c r="T14" s="90"/>
    </row>
    <row r="15" spans="1:20" ht="135" x14ac:dyDescent="0.25">
      <c r="A15" s="91">
        <v>3.14</v>
      </c>
      <c r="B15" s="99" t="s">
        <v>384</v>
      </c>
      <c r="C15" s="100" t="s">
        <v>388</v>
      </c>
      <c r="D15" s="7"/>
      <c r="E15" s="7"/>
      <c r="F15" s="7"/>
      <c r="G15" s="7"/>
      <c r="H15" s="7"/>
      <c r="I15" s="7"/>
      <c r="J15" s="7"/>
      <c r="K15" s="7"/>
      <c r="L15" s="7"/>
      <c r="M15" s="7"/>
      <c r="N15" s="7"/>
      <c r="O15" s="7"/>
      <c r="P15" s="7"/>
      <c r="Q15" s="7"/>
      <c r="R15" s="7"/>
      <c r="S15" s="7"/>
      <c r="T15" s="90"/>
    </row>
    <row r="16" spans="1:20" ht="120" x14ac:dyDescent="0.25">
      <c r="A16" s="89">
        <v>3.15</v>
      </c>
      <c r="B16" s="99" t="s">
        <v>385</v>
      </c>
      <c r="C16" s="100" t="s">
        <v>375</v>
      </c>
      <c r="D16" s="7" t="s">
        <v>326</v>
      </c>
      <c r="E16" s="7" t="s">
        <v>411</v>
      </c>
      <c r="F16" s="7" t="s">
        <v>412</v>
      </c>
      <c r="G16" s="7" t="s">
        <v>413</v>
      </c>
      <c r="H16" s="7" t="s">
        <v>159</v>
      </c>
      <c r="I16" s="7" t="s">
        <v>327</v>
      </c>
      <c r="J16" s="7" t="s">
        <v>328</v>
      </c>
      <c r="K16" s="7" t="s">
        <v>446</v>
      </c>
      <c r="L16" s="7"/>
      <c r="M16" s="7"/>
      <c r="N16" s="7"/>
      <c r="O16" s="7"/>
      <c r="P16" s="7"/>
      <c r="Q16" s="7"/>
      <c r="R16" s="7"/>
      <c r="S16" s="7"/>
      <c r="T16" s="90"/>
    </row>
    <row r="17" spans="1:20" ht="60" x14ac:dyDescent="0.25">
      <c r="A17" s="89" t="s">
        <v>329</v>
      </c>
      <c r="B17" s="99" t="s">
        <v>386</v>
      </c>
      <c r="C17" s="100" t="s">
        <v>375</v>
      </c>
      <c r="D17" s="7" t="s">
        <v>143</v>
      </c>
      <c r="E17" s="7" t="s">
        <v>144</v>
      </c>
      <c r="F17" s="7" t="s">
        <v>146</v>
      </c>
      <c r="G17" s="7" t="s">
        <v>145</v>
      </c>
      <c r="H17" s="7" t="s">
        <v>147</v>
      </c>
      <c r="I17" s="7" t="s">
        <v>142</v>
      </c>
      <c r="J17" s="7" t="s">
        <v>148</v>
      </c>
      <c r="K17" s="7" t="s">
        <v>149</v>
      </c>
      <c r="L17" s="7"/>
      <c r="M17" s="7"/>
      <c r="N17" s="7"/>
      <c r="O17" s="7"/>
      <c r="P17" s="7"/>
      <c r="Q17" s="7"/>
      <c r="R17" s="7"/>
      <c r="S17" s="7"/>
      <c r="T17" s="90"/>
    </row>
    <row r="18" spans="1:20" ht="45" x14ac:dyDescent="0.25">
      <c r="A18" s="91">
        <v>3.16</v>
      </c>
      <c r="B18" s="99" t="s">
        <v>374</v>
      </c>
      <c r="C18" s="100" t="s">
        <v>375</v>
      </c>
      <c r="D18" s="7"/>
      <c r="E18" s="7"/>
      <c r="F18" s="7"/>
      <c r="G18" s="7"/>
      <c r="H18" s="7"/>
      <c r="I18" s="7"/>
      <c r="J18" s="7"/>
      <c r="K18" s="7"/>
      <c r="L18" s="7"/>
      <c r="M18" s="7"/>
      <c r="N18" s="7"/>
      <c r="O18" s="7"/>
      <c r="P18" s="7"/>
      <c r="Q18" s="7"/>
      <c r="R18" s="7"/>
      <c r="S18" s="7"/>
      <c r="T18" s="90"/>
    </row>
    <row r="19" spans="1:20" ht="45" x14ac:dyDescent="0.25">
      <c r="A19" s="89">
        <v>3.17</v>
      </c>
      <c r="B19" s="99" t="s">
        <v>374</v>
      </c>
      <c r="C19" s="100" t="s">
        <v>375</v>
      </c>
      <c r="D19" s="7"/>
      <c r="E19" s="7"/>
      <c r="F19" s="7"/>
      <c r="G19" s="7"/>
      <c r="H19" s="7"/>
      <c r="I19" s="7"/>
      <c r="J19" s="7"/>
      <c r="K19" s="7"/>
      <c r="L19" s="7"/>
      <c r="M19" s="7"/>
      <c r="N19" s="7"/>
      <c r="O19" s="7"/>
      <c r="P19" s="7"/>
      <c r="Q19" s="7"/>
      <c r="R19" s="7"/>
      <c r="S19" s="7"/>
      <c r="T19" s="90"/>
    </row>
    <row r="20" spans="1:20" ht="165" x14ac:dyDescent="0.25">
      <c r="A20" s="91">
        <v>3.18</v>
      </c>
      <c r="B20" s="99" t="s">
        <v>374</v>
      </c>
      <c r="C20" s="100" t="s">
        <v>375</v>
      </c>
      <c r="D20" s="7" t="s">
        <v>445</v>
      </c>
      <c r="E20" s="7" t="s">
        <v>432</v>
      </c>
      <c r="F20" s="7"/>
      <c r="G20" s="7"/>
      <c r="H20" s="7"/>
      <c r="I20" s="7"/>
      <c r="J20" s="7"/>
      <c r="K20" s="7"/>
      <c r="L20" s="7"/>
      <c r="M20" s="7"/>
      <c r="N20" s="7"/>
      <c r="O20" s="7"/>
      <c r="P20" s="7"/>
      <c r="Q20" s="7"/>
      <c r="R20" s="7"/>
      <c r="S20" s="7"/>
      <c r="T20" s="90"/>
    </row>
    <row r="21" spans="1:20" ht="60" x14ac:dyDescent="0.25">
      <c r="A21" s="89">
        <v>3.19</v>
      </c>
      <c r="B21" s="99" t="s">
        <v>374</v>
      </c>
      <c r="C21" s="100" t="s">
        <v>408</v>
      </c>
      <c r="D21" s="90"/>
      <c r="E21" s="90"/>
      <c r="F21" s="90"/>
      <c r="G21" s="90"/>
      <c r="H21" s="90"/>
      <c r="I21" s="90"/>
      <c r="J21" s="90"/>
      <c r="K21" s="90"/>
      <c r="L21" s="90"/>
      <c r="M21" s="90"/>
      <c r="N21" s="90"/>
      <c r="O21" s="90"/>
      <c r="P21" s="90"/>
      <c r="Q21" s="90"/>
      <c r="R21" s="90"/>
      <c r="S21" s="90"/>
      <c r="T21" s="90"/>
    </row>
    <row r="22" spans="1:20" ht="195" x14ac:dyDescent="0.25">
      <c r="A22" s="91">
        <v>3.2</v>
      </c>
      <c r="B22" s="99" t="s">
        <v>374</v>
      </c>
      <c r="C22" s="100" t="s">
        <v>375</v>
      </c>
      <c r="D22" s="7" t="s">
        <v>414</v>
      </c>
      <c r="E22" s="7" t="s">
        <v>330</v>
      </c>
      <c r="F22" s="7" t="s">
        <v>418</v>
      </c>
      <c r="G22" s="7" t="s">
        <v>431</v>
      </c>
      <c r="H22" s="90"/>
      <c r="I22" s="90"/>
      <c r="J22" s="90"/>
      <c r="K22" s="90"/>
      <c r="L22" s="90"/>
      <c r="M22" s="90"/>
      <c r="N22" s="90"/>
      <c r="O22" s="90"/>
      <c r="P22" s="90"/>
      <c r="Q22" s="90"/>
      <c r="R22" s="90"/>
      <c r="S22" s="90"/>
      <c r="T22" s="90"/>
    </row>
    <row r="23" spans="1:20" ht="45" x14ac:dyDescent="0.25">
      <c r="A23" s="89">
        <v>3.21</v>
      </c>
      <c r="B23" s="99" t="s">
        <v>374</v>
      </c>
      <c r="C23" s="100" t="s">
        <v>375</v>
      </c>
      <c r="D23" s="90"/>
      <c r="E23" s="90"/>
      <c r="F23" s="90"/>
      <c r="G23" s="90"/>
      <c r="H23" s="90"/>
      <c r="I23" s="90"/>
      <c r="J23" s="90"/>
      <c r="K23" s="90"/>
      <c r="L23" s="90"/>
      <c r="M23" s="90"/>
      <c r="N23" s="90"/>
      <c r="O23" s="90"/>
      <c r="P23" s="90"/>
      <c r="Q23" s="90"/>
      <c r="R23" s="90"/>
      <c r="S23" s="90"/>
      <c r="T23" s="90"/>
    </row>
    <row r="24" spans="1:20" ht="45" x14ac:dyDescent="0.25">
      <c r="A24" s="91">
        <v>3.22</v>
      </c>
      <c r="B24" s="99" t="s">
        <v>374</v>
      </c>
      <c r="C24" s="100" t="s">
        <v>375</v>
      </c>
      <c r="D24" s="90"/>
      <c r="E24" s="90"/>
      <c r="F24" s="90"/>
      <c r="G24" s="90"/>
      <c r="H24" s="90"/>
      <c r="I24" s="90"/>
      <c r="J24" s="90"/>
      <c r="K24" s="90"/>
      <c r="L24" s="90"/>
      <c r="M24" s="90"/>
      <c r="N24" s="90"/>
      <c r="O24" s="90"/>
      <c r="P24" s="90"/>
      <c r="Q24" s="90"/>
      <c r="R24" s="90"/>
      <c r="S24" s="90"/>
      <c r="T24" s="90"/>
    </row>
    <row r="25" spans="1:20" ht="45" x14ac:dyDescent="0.25">
      <c r="A25" s="89">
        <v>3.23</v>
      </c>
      <c r="B25" s="99" t="s">
        <v>374</v>
      </c>
      <c r="C25" s="100" t="s">
        <v>375</v>
      </c>
      <c r="D25" s="7" t="s">
        <v>150</v>
      </c>
      <c r="E25" s="7" t="s">
        <v>151</v>
      </c>
      <c r="F25" s="90"/>
      <c r="G25" s="90"/>
      <c r="H25" s="90"/>
      <c r="I25" s="90"/>
      <c r="J25" s="90"/>
      <c r="K25" s="90"/>
      <c r="L25" s="90"/>
      <c r="M25" s="90"/>
      <c r="N25" s="90"/>
      <c r="O25" s="90"/>
      <c r="P25" s="90"/>
      <c r="Q25" s="90"/>
      <c r="R25" s="90"/>
      <c r="S25" s="90"/>
      <c r="T25" s="90"/>
    </row>
    <row r="26" spans="1:20" ht="45" x14ac:dyDescent="0.25">
      <c r="A26" s="92">
        <v>4.0999999999999996</v>
      </c>
      <c r="B26" s="99" t="s">
        <v>374</v>
      </c>
      <c r="C26" s="100" t="s">
        <v>375</v>
      </c>
      <c r="D26" s="90"/>
      <c r="E26" s="90"/>
      <c r="F26" s="90"/>
      <c r="G26" s="90"/>
      <c r="H26" s="90"/>
      <c r="I26" s="90"/>
      <c r="J26" s="90"/>
      <c r="K26" s="90"/>
      <c r="L26" s="90"/>
      <c r="M26" s="90"/>
      <c r="N26" s="90"/>
      <c r="O26" s="90"/>
      <c r="P26" s="90"/>
      <c r="Q26" s="90"/>
      <c r="R26" s="90"/>
      <c r="S26" s="90"/>
      <c r="T26" s="90"/>
    </row>
    <row r="27" spans="1:20" ht="45" x14ac:dyDescent="0.25">
      <c r="A27" s="89">
        <v>4.2</v>
      </c>
      <c r="B27" s="99" t="s">
        <v>374</v>
      </c>
      <c r="C27" s="100" t="s">
        <v>375</v>
      </c>
      <c r="D27" s="90"/>
      <c r="E27" s="90"/>
      <c r="F27" s="90"/>
      <c r="G27" s="90"/>
      <c r="H27" s="90"/>
      <c r="I27" s="90"/>
      <c r="J27" s="90"/>
      <c r="K27" s="90"/>
      <c r="L27" s="90"/>
      <c r="M27" s="90"/>
      <c r="N27" s="90"/>
      <c r="O27" s="90"/>
      <c r="P27" s="90"/>
      <c r="Q27" s="90"/>
      <c r="R27" s="90"/>
      <c r="S27" s="90"/>
      <c r="T27" s="90"/>
    </row>
    <row r="28" spans="1:20" ht="45" x14ac:dyDescent="0.25">
      <c r="A28" s="89">
        <v>4.3</v>
      </c>
      <c r="B28" s="99" t="s">
        <v>374</v>
      </c>
      <c r="C28" s="100" t="s">
        <v>375</v>
      </c>
      <c r="D28" s="90"/>
      <c r="E28" s="90"/>
      <c r="F28" s="90"/>
      <c r="G28" s="90"/>
      <c r="H28" s="90"/>
      <c r="I28" s="90"/>
      <c r="J28" s="90"/>
      <c r="K28" s="90"/>
      <c r="L28" s="90"/>
      <c r="M28" s="90"/>
      <c r="N28" s="90"/>
      <c r="O28" s="90"/>
      <c r="P28" s="90"/>
      <c r="Q28" s="90"/>
      <c r="R28" s="90"/>
      <c r="S28" s="90"/>
      <c r="T28" s="90"/>
    </row>
    <row r="29" spans="1:20" ht="45" x14ac:dyDescent="0.25">
      <c r="A29" s="89">
        <v>4.4000000000000004</v>
      </c>
      <c r="B29" s="99" t="s">
        <v>374</v>
      </c>
      <c r="C29" s="100" t="s">
        <v>375</v>
      </c>
      <c r="D29" s="90"/>
      <c r="E29" s="90"/>
      <c r="F29" s="90"/>
      <c r="G29" s="90"/>
      <c r="H29" s="90"/>
      <c r="I29" s="90"/>
      <c r="J29" s="90"/>
      <c r="K29" s="90"/>
      <c r="L29" s="90"/>
      <c r="M29" s="90"/>
      <c r="N29" s="90"/>
      <c r="O29" s="90"/>
      <c r="P29" s="90"/>
      <c r="Q29" s="90"/>
      <c r="R29" s="90"/>
      <c r="S29" s="90"/>
      <c r="T29" s="90"/>
    </row>
    <row r="30" spans="1:20" ht="45" x14ac:dyDescent="0.25">
      <c r="A30" s="89">
        <v>4.5</v>
      </c>
      <c r="B30" s="99" t="s">
        <v>374</v>
      </c>
      <c r="C30" s="100" t="s">
        <v>375</v>
      </c>
      <c r="D30" s="90"/>
      <c r="E30" s="90"/>
      <c r="F30" s="90"/>
      <c r="G30" s="90"/>
      <c r="H30" s="90"/>
      <c r="I30" s="90"/>
      <c r="J30" s="90"/>
      <c r="K30" s="90"/>
      <c r="L30" s="90"/>
      <c r="M30" s="90"/>
      <c r="N30" s="90"/>
      <c r="O30" s="90"/>
      <c r="P30" s="90"/>
      <c r="Q30" s="90"/>
      <c r="R30" s="90"/>
      <c r="S30" s="90"/>
      <c r="T30" s="90"/>
    </row>
    <row r="31" spans="1:20" ht="75" x14ac:dyDescent="0.25">
      <c r="A31" s="89">
        <v>4.5999999999999996</v>
      </c>
      <c r="B31" s="99" t="s">
        <v>392</v>
      </c>
      <c r="C31" s="100" t="s">
        <v>375</v>
      </c>
      <c r="D31" s="7" t="s">
        <v>157</v>
      </c>
      <c r="E31" s="7" t="s">
        <v>156</v>
      </c>
      <c r="F31" s="90" t="s">
        <v>155</v>
      </c>
      <c r="G31" s="7" t="s">
        <v>158</v>
      </c>
      <c r="H31" s="90"/>
      <c r="I31" s="90"/>
      <c r="J31" s="90"/>
      <c r="K31" s="90"/>
      <c r="L31" s="90"/>
      <c r="M31" s="90"/>
      <c r="N31" s="90"/>
      <c r="O31" s="90"/>
      <c r="P31" s="90"/>
      <c r="Q31" s="90"/>
      <c r="R31" s="90"/>
      <c r="S31" s="90"/>
      <c r="T31" s="90"/>
    </row>
    <row r="32" spans="1:20" ht="120" x14ac:dyDescent="0.25">
      <c r="A32" s="89">
        <v>4.7</v>
      </c>
      <c r="B32" s="99" t="s">
        <v>374</v>
      </c>
      <c r="C32" s="100" t="s">
        <v>375</v>
      </c>
      <c r="D32" s="7" t="s">
        <v>423</v>
      </c>
      <c r="E32" s="7"/>
      <c r="F32" s="90"/>
      <c r="G32" s="7"/>
      <c r="H32" s="90"/>
      <c r="I32" s="90"/>
      <c r="J32" s="90"/>
      <c r="K32" s="90"/>
      <c r="L32" s="90"/>
      <c r="M32" s="90"/>
      <c r="N32" s="90"/>
      <c r="O32" s="90"/>
      <c r="P32" s="90"/>
      <c r="Q32" s="90"/>
      <c r="R32" s="90"/>
      <c r="S32" s="90"/>
      <c r="T32" s="90"/>
    </row>
    <row r="33" spans="1:20" ht="45" x14ac:dyDescent="0.25">
      <c r="A33" s="89">
        <v>4.8</v>
      </c>
      <c r="B33" s="99" t="s">
        <v>374</v>
      </c>
      <c r="C33" s="100" t="s">
        <v>375</v>
      </c>
      <c r="D33" s="90"/>
      <c r="E33" s="90"/>
      <c r="F33" s="90"/>
      <c r="G33" s="90"/>
      <c r="H33" s="90"/>
      <c r="I33" s="90"/>
      <c r="J33" s="90"/>
      <c r="K33" s="90"/>
      <c r="L33" s="90"/>
      <c r="M33" s="90"/>
      <c r="N33" s="90"/>
      <c r="O33" s="90"/>
      <c r="P33" s="90"/>
      <c r="Q33" s="90"/>
      <c r="R33" s="90"/>
      <c r="S33" s="90"/>
      <c r="T33" s="90"/>
    </row>
    <row r="34" spans="1:20" ht="45" x14ac:dyDescent="0.25">
      <c r="A34" s="89">
        <v>4.9000000000000004</v>
      </c>
      <c r="B34" s="99" t="s">
        <v>374</v>
      </c>
      <c r="C34" s="100" t="s">
        <v>375</v>
      </c>
      <c r="D34" s="90"/>
      <c r="E34" s="90"/>
      <c r="F34" s="90"/>
      <c r="G34" s="90"/>
      <c r="H34" s="90"/>
      <c r="I34" s="90"/>
      <c r="J34" s="90"/>
      <c r="K34" s="90"/>
      <c r="L34" s="90"/>
      <c r="M34" s="90"/>
      <c r="N34" s="90"/>
      <c r="O34" s="90"/>
      <c r="P34" s="90"/>
      <c r="Q34" s="90"/>
      <c r="R34" s="90"/>
      <c r="S34" s="90"/>
      <c r="T34" s="90"/>
    </row>
    <row r="35" spans="1:20" ht="45" x14ac:dyDescent="0.25">
      <c r="A35" s="91">
        <v>4.0999999999999996</v>
      </c>
      <c r="B35" s="99" t="s">
        <v>374</v>
      </c>
      <c r="C35" s="100" t="s">
        <v>375</v>
      </c>
      <c r="D35" s="90"/>
      <c r="E35" s="90"/>
      <c r="F35" s="90"/>
      <c r="G35" s="90"/>
      <c r="H35" s="90"/>
      <c r="I35" s="90"/>
      <c r="J35" s="90"/>
      <c r="K35" s="90"/>
      <c r="L35" s="90"/>
      <c r="M35" s="90"/>
      <c r="N35" s="90"/>
      <c r="O35" s="90"/>
      <c r="P35" s="90"/>
      <c r="Q35" s="90"/>
      <c r="R35" s="90"/>
      <c r="S35" s="90"/>
      <c r="T35" s="90"/>
    </row>
    <row r="36" spans="1:20" ht="180" x14ac:dyDescent="0.25">
      <c r="A36" s="89">
        <v>3.25</v>
      </c>
      <c r="B36" s="99" t="s">
        <v>374</v>
      </c>
      <c r="C36" s="100" t="s">
        <v>375</v>
      </c>
      <c r="D36" s="7" t="s">
        <v>331</v>
      </c>
      <c r="E36" s="7" t="s">
        <v>332</v>
      </c>
      <c r="F36" s="90"/>
      <c r="G36" s="90"/>
      <c r="H36" s="90"/>
      <c r="I36" s="90"/>
      <c r="J36" s="90"/>
      <c r="K36" s="90"/>
      <c r="L36" s="90"/>
      <c r="M36" s="90"/>
      <c r="N36" s="90"/>
      <c r="O36" s="90"/>
      <c r="P36" s="90"/>
      <c r="Q36" s="90"/>
      <c r="R36" s="90"/>
      <c r="S36" s="90"/>
      <c r="T36" s="90"/>
    </row>
    <row r="37" spans="1:20" ht="90" x14ac:dyDescent="0.25">
      <c r="A37" s="89" t="s">
        <v>389</v>
      </c>
      <c r="B37" s="99" t="s">
        <v>391</v>
      </c>
      <c r="C37" s="100" t="s">
        <v>390</v>
      </c>
      <c r="D37" s="90"/>
      <c r="E37" s="90"/>
      <c r="F37" s="90"/>
      <c r="G37" s="90"/>
      <c r="H37" s="90"/>
      <c r="I37" s="90"/>
      <c r="J37" s="90"/>
      <c r="K37" s="90"/>
      <c r="L37" s="90"/>
      <c r="M37" s="90"/>
      <c r="N37" s="90"/>
      <c r="O37" s="90"/>
      <c r="P37" s="90"/>
      <c r="Q37" s="90"/>
      <c r="R37" s="90"/>
      <c r="S37" s="90"/>
      <c r="T37" s="90"/>
    </row>
    <row r="38" spans="1:20" ht="60" x14ac:dyDescent="0.25">
      <c r="A38" s="2" t="s">
        <v>393</v>
      </c>
      <c r="B38" s="7" t="s">
        <v>394</v>
      </c>
      <c r="C38" s="90"/>
      <c r="D38" s="90"/>
      <c r="E38" s="90"/>
      <c r="F38" s="90"/>
      <c r="G38" s="90"/>
      <c r="H38" s="90"/>
      <c r="I38" s="90"/>
      <c r="J38" s="90"/>
      <c r="K38" s="90"/>
      <c r="L38" s="90"/>
      <c r="M38" s="90"/>
      <c r="N38" s="90"/>
      <c r="O38" s="90"/>
      <c r="P38" s="90"/>
      <c r="Q38" s="90"/>
      <c r="R38" s="90"/>
      <c r="S38" s="90"/>
      <c r="T38" s="90"/>
    </row>
    <row r="39" spans="1:20" ht="60" x14ac:dyDescent="0.25">
      <c r="A39" s="2" t="s">
        <v>297</v>
      </c>
      <c r="B39" s="7" t="s">
        <v>395</v>
      </c>
      <c r="C39" s="90"/>
      <c r="D39" s="90"/>
      <c r="E39" s="90"/>
      <c r="F39" s="90"/>
      <c r="G39" s="90"/>
      <c r="H39" s="90"/>
      <c r="I39" s="90"/>
      <c r="J39" s="90"/>
      <c r="K39" s="90"/>
      <c r="L39" s="90"/>
      <c r="M39" s="90"/>
      <c r="N39" s="90"/>
      <c r="O39" s="90"/>
      <c r="P39" s="90"/>
      <c r="Q39" s="90"/>
      <c r="R39" s="90"/>
      <c r="S39" s="90"/>
      <c r="T39" s="90"/>
    </row>
    <row r="40" spans="1:20" x14ac:dyDescent="0.25">
      <c r="A40" s="6"/>
      <c r="B40" s="6"/>
      <c r="C40" s="6"/>
      <c r="D40" s="6"/>
      <c r="E40" s="6"/>
      <c r="F40" s="6"/>
      <c r="G40" s="6"/>
      <c r="H40" s="6"/>
      <c r="I40" s="6"/>
      <c r="J40" s="6"/>
      <c r="K40" s="6"/>
      <c r="L40" s="6"/>
      <c r="M40" s="6"/>
      <c r="N40" s="6"/>
      <c r="O40" s="6"/>
      <c r="P40" s="6"/>
      <c r="Q40" s="6"/>
      <c r="R40" s="6"/>
      <c r="S40" s="6"/>
    </row>
    <row r="41" spans="1:20" x14ac:dyDescent="0.25">
      <c r="A41" s="6"/>
      <c r="B41" s="6"/>
      <c r="C41" s="6"/>
      <c r="D41" s="6"/>
      <c r="E41" s="6"/>
      <c r="F41" s="6"/>
      <c r="G41" s="6"/>
      <c r="H41" s="6"/>
      <c r="I41" s="6"/>
      <c r="J41" s="6"/>
      <c r="K41" s="6"/>
      <c r="L41" s="6"/>
      <c r="M41" s="6"/>
      <c r="N41" s="6"/>
      <c r="O41" s="6"/>
      <c r="P41" s="6"/>
      <c r="Q41" s="6"/>
      <c r="R41" s="6"/>
      <c r="S41" s="6"/>
    </row>
    <row r="42" spans="1:20" x14ac:dyDescent="0.25">
      <c r="A42" s="6"/>
      <c r="B42" s="6"/>
      <c r="C42" s="6"/>
      <c r="D42" s="6"/>
      <c r="E42" s="6"/>
      <c r="F42" s="6"/>
      <c r="G42" s="6"/>
      <c r="H42" s="6"/>
      <c r="I42" s="6"/>
      <c r="J42" s="6"/>
      <c r="K42" s="6"/>
      <c r="L42" s="6"/>
      <c r="M42" s="6"/>
      <c r="N42" s="6"/>
      <c r="O42" s="6"/>
      <c r="P42" s="6"/>
      <c r="Q42" s="6"/>
      <c r="R42" s="6"/>
      <c r="S42" s="6"/>
    </row>
    <row r="43" spans="1:20" x14ac:dyDescent="0.25">
      <c r="A43" s="6"/>
      <c r="B43" s="6"/>
      <c r="C43" s="6"/>
      <c r="D43" s="6"/>
      <c r="E43" s="6"/>
      <c r="F43" s="6"/>
      <c r="G43" s="6"/>
      <c r="H43" s="6"/>
      <c r="I43" s="6"/>
      <c r="J43" s="6"/>
      <c r="K43" s="6"/>
      <c r="L43" s="6"/>
      <c r="M43" s="6"/>
      <c r="N43" s="6"/>
      <c r="O43" s="6"/>
      <c r="P43" s="6"/>
      <c r="Q43" s="6"/>
      <c r="R43" s="6"/>
      <c r="S43" s="6"/>
    </row>
    <row r="44" spans="1:20" x14ac:dyDescent="0.25">
      <c r="A44" s="6"/>
      <c r="B44" s="6"/>
      <c r="C44" s="6"/>
      <c r="D44" s="6"/>
      <c r="E44" s="6"/>
      <c r="F44" s="6"/>
      <c r="G44" s="6"/>
      <c r="H44" s="6"/>
      <c r="I44" s="6"/>
      <c r="J44" s="6"/>
      <c r="K44" s="6"/>
      <c r="L44" s="6"/>
      <c r="M44" s="6"/>
      <c r="N44" s="6"/>
      <c r="O44" s="6"/>
      <c r="P44" s="6"/>
      <c r="Q44" s="6"/>
      <c r="R44" s="6"/>
      <c r="S44" s="6"/>
    </row>
    <row r="45" spans="1:20" x14ac:dyDescent="0.25">
      <c r="A45" s="6"/>
      <c r="B45" s="6"/>
      <c r="C45" s="6"/>
      <c r="D45" s="6"/>
      <c r="E45" s="6"/>
      <c r="F45" s="6"/>
      <c r="G45" s="6"/>
      <c r="H45" s="6"/>
      <c r="I45" s="6"/>
      <c r="J45" s="6"/>
      <c r="K45" s="6"/>
      <c r="L45" s="6"/>
      <c r="M45" s="6"/>
      <c r="N45" s="6"/>
      <c r="O45" s="6"/>
      <c r="P45" s="6"/>
      <c r="Q45" s="6"/>
      <c r="R45" s="6"/>
      <c r="S45" s="6"/>
    </row>
    <row r="46" spans="1:20" x14ac:dyDescent="0.25">
      <c r="A46" s="6"/>
      <c r="B46" s="6"/>
      <c r="C46" s="6"/>
      <c r="D46" s="6"/>
      <c r="E46" s="6"/>
      <c r="F46" s="6"/>
      <c r="G46" s="6"/>
      <c r="H46" s="6"/>
      <c r="I46" s="6"/>
      <c r="J46" s="6"/>
      <c r="K46" s="6"/>
      <c r="L46" s="6"/>
      <c r="M46" s="6"/>
      <c r="N46" s="6"/>
      <c r="O46" s="6"/>
      <c r="P46" s="6"/>
      <c r="Q46" s="6"/>
      <c r="R46" s="6"/>
      <c r="S46" s="6"/>
    </row>
  </sheetData>
  <pageMargins left="0.7" right="0.7" top="0.75" bottom="0.75" header="0.3" footer="0.3"/>
  <pageSetup paperSize="256"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DF3BF-F9F1-4D93-A5DC-D74368238BAF}">
  <sheetPr codeName="Sheet4"/>
  <dimension ref="A1:A21"/>
  <sheetViews>
    <sheetView workbookViewId="0">
      <selection activeCell="C10" sqref="C10"/>
    </sheetView>
  </sheetViews>
  <sheetFormatPr defaultRowHeight="15" x14ac:dyDescent="0.25"/>
  <cols>
    <col min="1" max="1" width="25.140625" customWidth="1"/>
  </cols>
  <sheetData>
    <row r="1" spans="1:1" x14ac:dyDescent="0.25">
      <c r="A1" s="83" t="s">
        <v>290</v>
      </c>
    </row>
    <row r="2" spans="1:1" x14ac:dyDescent="0.25">
      <c r="A2" s="84" t="s">
        <v>270</v>
      </c>
    </row>
    <row r="3" spans="1:1" x14ac:dyDescent="0.25">
      <c r="A3" s="84" t="s">
        <v>271</v>
      </c>
    </row>
    <row r="4" spans="1:1" x14ac:dyDescent="0.25">
      <c r="A4" s="84" t="s">
        <v>272</v>
      </c>
    </row>
    <row r="5" spans="1:1" x14ac:dyDescent="0.25">
      <c r="A5" s="84" t="s">
        <v>273</v>
      </c>
    </row>
    <row r="6" spans="1:1" x14ac:dyDescent="0.25">
      <c r="A6" s="84" t="s">
        <v>274</v>
      </c>
    </row>
    <row r="7" spans="1:1" x14ac:dyDescent="0.25">
      <c r="A7" s="84" t="s">
        <v>275</v>
      </c>
    </row>
    <row r="8" spans="1:1" x14ac:dyDescent="0.25">
      <c r="A8" s="84" t="s">
        <v>276</v>
      </c>
    </row>
    <row r="9" spans="1:1" x14ac:dyDescent="0.25">
      <c r="A9" s="84" t="s">
        <v>277</v>
      </c>
    </row>
    <row r="10" spans="1:1" x14ac:dyDescent="0.25">
      <c r="A10" s="84" t="s">
        <v>278</v>
      </c>
    </row>
    <row r="11" spans="1:1" x14ac:dyDescent="0.25">
      <c r="A11" s="84" t="s">
        <v>279</v>
      </c>
    </row>
    <row r="12" spans="1:1" x14ac:dyDescent="0.25">
      <c r="A12" s="84" t="s">
        <v>280</v>
      </c>
    </row>
    <row r="13" spans="1:1" x14ac:dyDescent="0.25">
      <c r="A13" s="84" t="s">
        <v>281</v>
      </c>
    </row>
    <row r="14" spans="1:1" x14ac:dyDescent="0.25">
      <c r="A14" s="84" t="s">
        <v>282</v>
      </c>
    </row>
    <row r="15" spans="1:1" x14ac:dyDescent="0.25">
      <c r="A15" s="84" t="s">
        <v>283</v>
      </c>
    </row>
    <row r="16" spans="1:1" x14ac:dyDescent="0.25">
      <c r="A16" s="84" t="s">
        <v>284</v>
      </c>
    </row>
    <row r="17" spans="1:1" x14ac:dyDescent="0.25">
      <c r="A17" s="84" t="s">
        <v>285</v>
      </c>
    </row>
    <row r="18" spans="1:1" x14ac:dyDescent="0.25">
      <c r="A18" s="84" t="s">
        <v>286</v>
      </c>
    </row>
    <row r="19" spans="1:1" x14ac:dyDescent="0.25">
      <c r="A19" s="84" t="s">
        <v>287</v>
      </c>
    </row>
    <row r="20" spans="1:1" x14ac:dyDescent="0.25">
      <c r="A20" s="84" t="s">
        <v>288</v>
      </c>
    </row>
    <row r="21" spans="1:1" x14ac:dyDescent="0.25">
      <c r="A21" s="84" t="s">
        <v>289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CFCE1-1893-41D7-BF11-22442780997F}">
  <sheetPr codeName="Sheet5"/>
  <dimension ref="A1:G50"/>
  <sheetViews>
    <sheetView zoomScaleNormal="100" workbookViewId="0">
      <selection activeCell="A15" sqref="A15:F18"/>
    </sheetView>
  </sheetViews>
  <sheetFormatPr defaultRowHeight="15" x14ac:dyDescent="0.25"/>
  <cols>
    <col min="1" max="1" width="17.42578125" customWidth="1"/>
    <col min="2" max="2" width="19.5703125" customWidth="1"/>
    <col min="3" max="3" width="21.85546875" bestFit="1" customWidth="1"/>
    <col min="4" max="4" width="19.7109375" bestFit="1" customWidth="1"/>
    <col min="5" max="5" width="11.5703125" bestFit="1" customWidth="1"/>
    <col min="6" max="6" width="14.28515625" bestFit="1" customWidth="1"/>
  </cols>
  <sheetData>
    <row r="1" spans="1:7" x14ac:dyDescent="0.25">
      <c r="A1" s="165" t="s">
        <v>250</v>
      </c>
      <c r="B1" s="166"/>
      <c r="C1" s="166"/>
      <c r="D1" s="166"/>
      <c r="E1" s="166"/>
      <c r="F1" s="166"/>
      <c r="G1" s="166"/>
    </row>
    <row r="2" spans="1:7" x14ac:dyDescent="0.25">
      <c r="A2" s="70" t="s">
        <v>251</v>
      </c>
      <c r="B2" s="70" t="s">
        <v>252</v>
      </c>
      <c r="C2" s="71" t="s">
        <v>253</v>
      </c>
      <c r="D2" s="71" t="s">
        <v>254</v>
      </c>
      <c r="E2" s="71" t="s">
        <v>255</v>
      </c>
      <c r="F2" s="71" t="s">
        <v>256</v>
      </c>
      <c r="G2" s="82" t="s">
        <v>269</v>
      </c>
    </row>
    <row r="3" spans="1:7" x14ac:dyDescent="0.25">
      <c r="A3" s="72" t="s">
        <v>257</v>
      </c>
      <c r="B3" s="73" t="s">
        <v>4</v>
      </c>
      <c r="C3" s="74" t="s">
        <v>258</v>
      </c>
      <c r="D3" s="74" t="s">
        <v>259</v>
      </c>
      <c r="E3" s="72" t="s">
        <v>4</v>
      </c>
      <c r="F3" s="67" t="s">
        <v>260</v>
      </c>
      <c r="G3" s="75"/>
    </row>
    <row r="4" spans="1:7" x14ac:dyDescent="0.25">
      <c r="A4" s="75" t="s">
        <v>257</v>
      </c>
      <c r="B4" t="s">
        <v>3</v>
      </c>
      <c r="C4" s="76" t="s">
        <v>258</v>
      </c>
      <c r="D4" s="76" t="s">
        <v>261</v>
      </c>
      <c r="E4" s="75" t="s">
        <v>4</v>
      </c>
      <c r="F4" s="77" t="s">
        <v>262</v>
      </c>
      <c r="G4" s="75"/>
    </row>
    <row r="5" spans="1:7" x14ac:dyDescent="0.25">
      <c r="A5" s="75" t="s">
        <v>257</v>
      </c>
      <c r="B5" t="s">
        <v>263</v>
      </c>
      <c r="C5" s="76" t="s">
        <v>258</v>
      </c>
      <c r="D5" s="76" t="s">
        <v>261</v>
      </c>
      <c r="E5" s="75" t="s">
        <v>4</v>
      </c>
      <c r="F5" s="77" t="s">
        <v>264</v>
      </c>
      <c r="G5" s="75"/>
    </row>
    <row r="6" spans="1:7" x14ac:dyDescent="0.25">
      <c r="A6" s="75" t="s">
        <v>265</v>
      </c>
      <c r="B6" t="s">
        <v>4</v>
      </c>
      <c r="C6" s="76" t="s">
        <v>309</v>
      </c>
      <c r="D6" s="76" t="s">
        <v>5</v>
      </c>
      <c r="E6" s="75" t="s">
        <v>3</v>
      </c>
      <c r="F6" s="77" t="s">
        <v>260</v>
      </c>
      <c r="G6" s="75"/>
    </row>
    <row r="7" spans="1:7" x14ac:dyDescent="0.25">
      <c r="A7" s="75" t="s">
        <v>265</v>
      </c>
      <c r="B7" t="s">
        <v>266</v>
      </c>
      <c r="C7" s="76" t="s">
        <v>309</v>
      </c>
      <c r="D7" s="76" t="s">
        <v>5</v>
      </c>
      <c r="E7" s="75" t="s">
        <v>3</v>
      </c>
      <c r="F7" s="77" t="s">
        <v>260</v>
      </c>
      <c r="G7" s="75"/>
    </row>
    <row r="8" spans="1:7" ht="60" x14ac:dyDescent="0.25">
      <c r="A8" s="75" t="s">
        <v>265</v>
      </c>
      <c r="B8" s="6" t="s">
        <v>267</v>
      </c>
      <c r="C8" s="76" t="s">
        <v>309</v>
      </c>
      <c r="D8" s="76" t="s">
        <v>5</v>
      </c>
      <c r="E8" s="75" t="s">
        <v>3</v>
      </c>
      <c r="F8" s="77" t="s">
        <v>268</v>
      </c>
      <c r="G8" s="75"/>
    </row>
    <row r="9" spans="1:7" x14ac:dyDescent="0.25">
      <c r="A9" s="75" t="s">
        <v>299</v>
      </c>
      <c r="B9" t="s">
        <v>4</v>
      </c>
      <c r="C9" s="76" t="s">
        <v>309</v>
      </c>
      <c r="D9" s="76" t="s">
        <v>5</v>
      </c>
      <c r="E9" s="75" t="s">
        <v>4</v>
      </c>
      <c r="F9" s="77" t="s">
        <v>260</v>
      </c>
      <c r="G9" s="75"/>
    </row>
    <row r="10" spans="1:7" x14ac:dyDescent="0.25">
      <c r="A10" s="75" t="s">
        <v>299</v>
      </c>
      <c r="B10" t="s">
        <v>3</v>
      </c>
      <c r="C10" s="76" t="s">
        <v>309</v>
      </c>
      <c r="D10" s="76" t="s">
        <v>299</v>
      </c>
      <c r="E10" s="75" t="s">
        <v>4</v>
      </c>
      <c r="F10" s="77" t="s">
        <v>301</v>
      </c>
      <c r="G10" s="75"/>
    </row>
    <row r="11" spans="1:7" x14ac:dyDescent="0.25">
      <c r="A11" s="75" t="s">
        <v>302</v>
      </c>
      <c r="B11" t="s">
        <v>304</v>
      </c>
      <c r="C11" s="76" t="s">
        <v>309</v>
      </c>
      <c r="D11" s="76" t="s">
        <v>261</v>
      </c>
      <c r="E11" s="75" t="s">
        <v>3</v>
      </c>
      <c r="F11" s="77" t="s">
        <v>301</v>
      </c>
      <c r="G11" s="75"/>
    </row>
    <row r="12" spans="1:7" x14ac:dyDescent="0.25">
      <c r="A12" s="75" t="s">
        <v>302</v>
      </c>
      <c r="B12" t="s">
        <v>303</v>
      </c>
      <c r="C12" s="76" t="s">
        <v>309</v>
      </c>
      <c r="D12" s="76" t="s">
        <v>305</v>
      </c>
      <c r="E12" s="75" t="s">
        <v>3</v>
      </c>
      <c r="F12" s="77" t="s">
        <v>301</v>
      </c>
      <c r="G12" s="75"/>
    </row>
    <row r="13" spans="1:7" x14ac:dyDescent="0.25">
      <c r="A13" s="75" t="s">
        <v>306</v>
      </c>
      <c r="B13" t="s">
        <v>3</v>
      </c>
      <c r="C13" s="76" t="s">
        <v>307</v>
      </c>
      <c r="D13" s="76" t="s">
        <v>261</v>
      </c>
      <c r="E13" s="75" t="s">
        <v>4</v>
      </c>
      <c r="F13" s="77" t="s">
        <v>301</v>
      </c>
      <c r="G13" s="75"/>
    </row>
    <row r="14" spans="1:7" x14ac:dyDescent="0.25">
      <c r="A14" s="75" t="s">
        <v>311</v>
      </c>
      <c r="B14" t="s">
        <v>3</v>
      </c>
      <c r="C14" s="76" t="s">
        <v>308</v>
      </c>
      <c r="D14" s="76" t="s">
        <v>261</v>
      </c>
      <c r="E14" s="75" t="s">
        <v>4</v>
      </c>
      <c r="F14" s="77" t="s">
        <v>301</v>
      </c>
      <c r="G14" s="75"/>
    </row>
    <row r="15" spans="1:7" x14ac:dyDescent="0.25">
      <c r="A15" s="75" t="s">
        <v>317</v>
      </c>
      <c r="B15" t="s">
        <v>3</v>
      </c>
      <c r="C15" s="76" t="s">
        <v>309</v>
      </c>
      <c r="D15" s="76" t="s">
        <v>318</v>
      </c>
      <c r="E15" s="75" t="s">
        <v>4</v>
      </c>
      <c r="F15" s="77" t="s">
        <v>301</v>
      </c>
      <c r="G15" s="75"/>
    </row>
    <row r="16" spans="1:7" x14ac:dyDescent="0.25">
      <c r="A16" s="75" t="s">
        <v>320</v>
      </c>
      <c r="B16" t="s">
        <v>3</v>
      </c>
      <c r="C16" s="76" t="s">
        <v>321</v>
      </c>
      <c r="D16" s="76" t="s">
        <v>318</v>
      </c>
      <c r="E16" s="75" t="s">
        <v>4</v>
      </c>
      <c r="F16" s="77" t="s">
        <v>301</v>
      </c>
      <c r="G16" s="75"/>
    </row>
    <row r="17" spans="1:7" x14ac:dyDescent="0.25">
      <c r="A17" s="75" t="s">
        <v>322</v>
      </c>
      <c r="B17" t="s">
        <v>3</v>
      </c>
      <c r="C17" s="76" t="s">
        <v>325</v>
      </c>
      <c r="D17" s="76" t="s">
        <v>261</v>
      </c>
      <c r="E17" s="75" t="s">
        <v>4</v>
      </c>
      <c r="F17" s="88" t="s">
        <v>301</v>
      </c>
      <c r="G17" s="75"/>
    </row>
    <row r="18" spans="1:7" x14ac:dyDescent="0.25">
      <c r="A18" s="75" t="s">
        <v>324</v>
      </c>
      <c r="B18" t="s">
        <v>3</v>
      </c>
      <c r="C18" s="76" t="s">
        <v>323</v>
      </c>
      <c r="D18" s="76" t="s">
        <v>261</v>
      </c>
      <c r="E18" s="75" t="s">
        <v>4</v>
      </c>
      <c r="F18" s="77" t="s">
        <v>301</v>
      </c>
      <c r="G18" s="75"/>
    </row>
    <row r="19" spans="1:7" x14ac:dyDescent="0.25">
      <c r="A19" s="75"/>
      <c r="C19" s="76"/>
      <c r="D19" s="76"/>
      <c r="E19" s="75"/>
      <c r="F19" s="77"/>
      <c r="G19" s="75"/>
    </row>
    <row r="20" spans="1:7" x14ac:dyDescent="0.25">
      <c r="A20" s="75"/>
      <c r="C20" s="76"/>
      <c r="D20" s="76"/>
      <c r="E20" s="75"/>
      <c r="F20" s="77"/>
      <c r="G20" s="75"/>
    </row>
    <row r="21" spans="1:7" x14ac:dyDescent="0.25">
      <c r="A21" s="75"/>
      <c r="C21" s="76"/>
      <c r="D21" s="76"/>
      <c r="E21" s="75"/>
      <c r="F21" s="77"/>
      <c r="G21" s="75"/>
    </row>
    <row r="22" spans="1:7" x14ac:dyDescent="0.25">
      <c r="A22" s="75"/>
      <c r="C22" s="76"/>
      <c r="D22" s="76"/>
      <c r="E22" s="75"/>
      <c r="F22" s="77"/>
      <c r="G22" s="75"/>
    </row>
    <row r="23" spans="1:7" x14ac:dyDescent="0.25">
      <c r="A23" s="75"/>
      <c r="C23" s="76"/>
      <c r="D23" s="76"/>
      <c r="E23" s="75"/>
      <c r="F23" s="77"/>
      <c r="G23" s="75"/>
    </row>
    <row r="24" spans="1:7" x14ac:dyDescent="0.25">
      <c r="A24" s="75"/>
      <c r="C24" s="76"/>
      <c r="D24" s="76"/>
      <c r="E24" s="75"/>
      <c r="F24" s="77"/>
      <c r="G24" s="75"/>
    </row>
    <row r="25" spans="1:7" x14ac:dyDescent="0.25">
      <c r="A25" s="75"/>
      <c r="C25" s="76"/>
      <c r="D25" s="76"/>
      <c r="E25" s="75"/>
      <c r="F25" s="77"/>
      <c r="G25" s="75"/>
    </row>
    <row r="26" spans="1:7" x14ac:dyDescent="0.25">
      <c r="A26" s="75"/>
      <c r="C26" s="76"/>
      <c r="D26" s="76"/>
      <c r="E26" s="75"/>
      <c r="F26" s="77"/>
      <c r="G26" s="75"/>
    </row>
    <row r="27" spans="1:7" x14ac:dyDescent="0.25">
      <c r="A27" s="75"/>
      <c r="C27" s="76"/>
      <c r="D27" s="76"/>
      <c r="E27" s="75"/>
      <c r="F27" s="77"/>
      <c r="G27" s="75"/>
    </row>
    <row r="28" spans="1:7" x14ac:dyDescent="0.25">
      <c r="A28" s="75"/>
      <c r="C28" s="76"/>
      <c r="D28" s="76"/>
      <c r="E28" s="75"/>
      <c r="F28" s="77"/>
      <c r="G28" s="75"/>
    </row>
    <row r="29" spans="1:7" x14ac:dyDescent="0.25">
      <c r="A29" s="75"/>
      <c r="C29" s="76"/>
      <c r="D29" s="76"/>
      <c r="E29" s="75"/>
      <c r="F29" s="77"/>
      <c r="G29" s="75"/>
    </row>
    <row r="30" spans="1:7" x14ac:dyDescent="0.25">
      <c r="A30" s="75"/>
      <c r="C30" s="76"/>
      <c r="D30" s="76"/>
      <c r="E30" s="75"/>
      <c r="F30" s="77"/>
      <c r="G30" s="75"/>
    </row>
    <row r="31" spans="1:7" x14ac:dyDescent="0.25">
      <c r="A31" s="75"/>
      <c r="C31" s="76"/>
      <c r="D31" s="76"/>
      <c r="E31" s="75"/>
      <c r="F31" s="77"/>
      <c r="G31" s="75"/>
    </row>
    <row r="32" spans="1:7" x14ac:dyDescent="0.25">
      <c r="A32" s="75"/>
      <c r="C32" s="76"/>
      <c r="D32" s="76"/>
      <c r="E32" s="75"/>
      <c r="F32" s="77"/>
      <c r="G32" s="75"/>
    </row>
    <row r="33" spans="1:7" x14ac:dyDescent="0.25">
      <c r="A33" s="75"/>
      <c r="C33" s="76"/>
      <c r="D33" s="76"/>
      <c r="E33" s="75"/>
      <c r="F33" s="77"/>
      <c r="G33" s="75"/>
    </row>
    <row r="34" spans="1:7" x14ac:dyDescent="0.25">
      <c r="A34" s="75"/>
      <c r="C34" s="76"/>
      <c r="D34" s="76"/>
      <c r="E34" s="75"/>
      <c r="F34" s="77"/>
      <c r="G34" s="75"/>
    </row>
    <row r="35" spans="1:7" x14ac:dyDescent="0.25">
      <c r="A35" s="75"/>
      <c r="C35" s="76"/>
      <c r="D35" s="76"/>
      <c r="E35" s="75"/>
      <c r="F35" s="77"/>
      <c r="G35" s="75"/>
    </row>
    <row r="36" spans="1:7" x14ac:dyDescent="0.25">
      <c r="A36" s="75"/>
      <c r="C36" s="76"/>
      <c r="D36" s="76"/>
      <c r="E36" s="75"/>
      <c r="F36" s="77"/>
      <c r="G36" s="75"/>
    </row>
    <row r="37" spans="1:7" x14ac:dyDescent="0.25">
      <c r="A37" s="75"/>
      <c r="C37" s="76"/>
      <c r="D37" s="76"/>
      <c r="E37" s="75"/>
      <c r="F37" s="77"/>
      <c r="G37" s="75"/>
    </row>
    <row r="38" spans="1:7" x14ac:dyDescent="0.25">
      <c r="A38" s="75"/>
      <c r="C38" s="76"/>
      <c r="D38" s="76"/>
      <c r="E38" s="75"/>
      <c r="F38" s="77"/>
      <c r="G38" s="75"/>
    </row>
    <row r="39" spans="1:7" x14ac:dyDescent="0.25">
      <c r="A39" s="75"/>
      <c r="C39" s="76"/>
      <c r="D39" s="76"/>
      <c r="E39" s="75"/>
      <c r="F39" s="77"/>
      <c r="G39" s="75"/>
    </row>
    <row r="40" spans="1:7" x14ac:dyDescent="0.25">
      <c r="A40" s="75"/>
      <c r="C40" s="76"/>
      <c r="D40" s="76"/>
      <c r="E40" s="75"/>
      <c r="F40" s="77"/>
      <c r="G40" s="75"/>
    </row>
    <row r="41" spans="1:7" x14ac:dyDescent="0.25">
      <c r="A41" s="75"/>
      <c r="C41" s="76"/>
      <c r="D41" s="76"/>
      <c r="E41" s="75"/>
      <c r="F41" s="77"/>
      <c r="G41" s="75"/>
    </row>
    <row r="42" spans="1:7" x14ac:dyDescent="0.25">
      <c r="A42" s="75"/>
      <c r="C42" s="76"/>
      <c r="D42" s="76"/>
      <c r="E42" s="75"/>
      <c r="F42" s="77"/>
      <c r="G42" s="75"/>
    </row>
    <row r="43" spans="1:7" x14ac:dyDescent="0.25">
      <c r="A43" s="75"/>
      <c r="C43" s="76"/>
      <c r="D43" s="76"/>
      <c r="E43" s="75"/>
      <c r="F43" s="77"/>
      <c r="G43" s="75"/>
    </row>
    <row r="44" spans="1:7" x14ac:dyDescent="0.25">
      <c r="A44" s="75"/>
      <c r="C44" s="76"/>
      <c r="D44" s="76"/>
      <c r="E44" s="75"/>
      <c r="F44" s="77"/>
      <c r="G44" s="75"/>
    </row>
    <row r="45" spans="1:7" x14ac:dyDescent="0.25">
      <c r="A45" s="75"/>
      <c r="C45" s="76"/>
      <c r="D45" s="76"/>
      <c r="E45" s="75"/>
      <c r="F45" s="77"/>
      <c r="G45" s="75"/>
    </row>
    <row r="46" spans="1:7" x14ac:dyDescent="0.25">
      <c r="A46" s="75"/>
      <c r="C46" s="76"/>
      <c r="D46" s="76"/>
      <c r="E46" s="75"/>
      <c r="F46" s="77"/>
      <c r="G46" s="75"/>
    </row>
    <row r="47" spans="1:7" x14ac:dyDescent="0.25">
      <c r="A47" s="75"/>
      <c r="C47" s="76"/>
      <c r="D47" s="76"/>
      <c r="E47" s="75"/>
      <c r="F47" s="77"/>
      <c r="G47" s="75"/>
    </row>
    <row r="48" spans="1:7" x14ac:dyDescent="0.25">
      <c r="A48" s="75"/>
      <c r="C48" s="76"/>
      <c r="D48" s="76"/>
      <c r="E48" s="75"/>
      <c r="F48" s="77"/>
      <c r="G48" s="75"/>
    </row>
    <row r="49" spans="1:7" x14ac:dyDescent="0.25">
      <c r="A49" s="75"/>
      <c r="C49" s="76"/>
      <c r="D49" s="76"/>
      <c r="E49" s="75"/>
      <c r="F49" s="77"/>
      <c r="G49" s="75"/>
    </row>
    <row r="50" spans="1:7" x14ac:dyDescent="0.25">
      <c r="A50" s="78"/>
      <c r="B50" s="79"/>
      <c r="C50" s="80"/>
      <c r="D50" s="80"/>
      <c r="E50" s="78"/>
      <c r="F50" s="81"/>
      <c r="G50" s="78"/>
    </row>
  </sheetData>
  <mergeCells count="1">
    <mergeCell ref="A1: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Completeness Review</vt:lpstr>
      <vt:lpstr>Level 1 Screen</vt:lpstr>
      <vt:lpstr>Rej Comments</vt:lpstr>
      <vt:lpstr>Drop Down Lists</vt:lpstr>
      <vt:lpstr>Meter Action Guide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Nogosek</dc:creator>
  <cp:lastModifiedBy>Joe Nogosek</cp:lastModifiedBy>
  <dcterms:created xsi:type="dcterms:W3CDTF">2006-09-16T00:00:00Z</dcterms:created>
  <dcterms:modified xsi:type="dcterms:W3CDTF">2023-06-05T05:47:15Z</dcterms:modified>
</cp:coreProperties>
</file>